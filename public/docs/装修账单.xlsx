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<sst xmlns="http://schemas.openxmlformats.org/spreadsheetml/2006/main" count="205" uniqueCount="126">
  <si>
    <t>序号</t>
  </si>
  <si>
    <t>类型</t>
  </si>
  <si>
    <t>具体内容</t>
  </si>
  <si>
    <t>商家</t>
  </si>
  <si>
    <t>金额</t>
  </si>
  <si>
    <t>日期</t>
  </si>
  <si>
    <t>付款人</t>
  </si>
  <si>
    <t>备注</t>
  </si>
  <si>
    <t>总金额</t>
  </si>
  <si>
    <t>剩余金额</t>
  </si>
  <si>
    <t>硬装</t>
  </si>
  <si>
    <t>全包装修公司合同签订，定金为合同的10%</t>
  </si>
  <si>
    <t>彩兔</t>
  </si>
  <si>
    <t>g</t>
  </si>
  <si>
    <t>总金额：153200，剩余90%</t>
  </si>
  <si>
    <t>定制</t>
  </si>
  <si>
    <t>全包装修公司合作定制商家佳禾印象23平米柜子活动</t>
  </si>
  <si>
    <t>佳禾印象</t>
  </si>
  <si>
    <t>彩兔合作的定制商家</t>
  </si>
  <si>
    <t>封窗</t>
  </si>
  <si>
    <t>封窗合同签订，定金为合同50%</t>
  </si>
  <si>
    <t>美家宅配/牧逸</t>
  </si>
  <si>
    <t>总金额：15500，剩余50%</t>
  </si>
  <si>
    <t>全包装修开工，金额为合同的30%</t>
  </si>
  <si>
    <t>总金额：153200，剩余60%</t>
  </si>
  <si>
    <t>物业</t>
  </si>
  <si>
    <t>日常建筑垃圾指定地点清运</t>
  </si>
  <si>
    <t>地暖</t>
  </si>
  <si>
    <t>地暖合同签订，通过云闪付国补购买锅炉，</t>
  </si>
  <si>
    <t>楷尔瑞/威能</t>
  </si>
  <si>
    <t>总金额：19020，剩余10000</t>
  </si>
  <si>
    <t>打拆</t>
  </si>
  <si>
    <t>墙体打拆、保温层拆除</t>
  </si>
  <si>
    <t>打拆个人</t>
  </si>
  <si>
    <t>q</t>
  </si>
  <si>
    <t>交房：维修基金、物业费</t>
  </si>
  <si>
    <t>装修管理费</t>
  </si>
  <si>
    <t>封洞</t>
  </si>
  <si>
    <t>封洞个人</t>
  </si>
  <si>
    <t>定制定金3000</t>
  </si>
  <si>
    <t>简述</t>
  </si>
  <si>
    <t>总金额：xxx，</t>
  </si>
  <si>
    <t>xxx</t>
  </si>
  <si>
    <t>浴室门升级磨砂超白玻璃</t>
  </si>
  <si>
    <t>风管机</t>
  </si>
  <si>
    <t>风管机定金</t>
  </si>
  <si>
    <t>美的</t>
  </si>
  <si>
    <t>总金额：4380，剩余：2680</t>
  </si>
  <si>
    <t>燃气</t>
  </si>
  <si>
    <t>燃气改造</t>
  </si>
  <si>
    <t>燃气公司</t>
  </si>
  <si>
    <t>水电</t>
  </si>
  <si>
    <t>水电改造</t>
  </si>
  <si>
    <t>当家</t>
  </si>
  <si>
    <t>总金额：13000，剩余：6213</t>
  </si>
  <si>
    <t>水电材料费</t>
  </si>
  <si>
    <t>总金额：13000，剩余：0</t>
  </si>
  <si>
    <t>水电材料费退款</t>
  </si>
  <si>
    <t>开洞</t>
  </si>
  <si>
    <t>燃气洞、空调洞等</t>
  </si>
  <si>
    <t>开洞个人</t>
  </si>
  <si>
    <t>风管机尾款</t>
  </si>
  <si>
    <t>总金额：4380，剩余：0</t>
  </si>
  <si>
    <t>封窗中期款</t>
  </si>
  <si>
    <t>总金额：15500，剩余10%</t>
  </si>
  <si>
    <t>返利</t>
  </si>
  <si>
    <t>水电垃圾清运</t>
  </si>
  <si>
    <t>物业保洁</t>
  </si>
  <si>
    <t>强电箱空开</t>
  </si>
  <si>
    <t>地暖盘管结束</t>
  </si>
  <si>
    <t>总金额：18820，剩余2150</t>
  </si>
  <si>
    <t>封窗尾款</t>
  </si>
  <si>
    <t>灯具</t>
  </si>
  <si>
    <t>双眼皮灯槽灯带</t>
  </si>
  <si>
    <t>淘宝商家</t>
  </si>
  <si>
    <t>风管机下调调整</t>
  </si>
  <si>
    <t>推拉门</t>
  </si>
  <si>
    <t>厨房+书房推拉门定金</t>
  </si>
  <si>
    <t>云豪门业</t>
  </si>
  <si>
    <t>瓷砖收口条</t>
  </si>
  <si>
    <t>瓷砖收口</t>
  </si>
  <si>
    <t>水电智能开关退款</t>
  </si>
  <si>
    <t>防水完成后二期款</t>
  </si>
  <si>
    <t>总金额：153200，剩余25%</t>
  </si>
  <si>
    <t>实付总计：</t>
  </si>
  <si>
    <t>剩余总计：</t>
  </si>
  <si>
    <t>预算</t>
  </si>
  <si>
    <t>小类别</t>
  </si>
  <si>
    <t>小类预算</t>
  </si>
  <si>
    <t>实际总金额</t>
  </si>
  <si>
    <t>打拆+封洞</t>
  </si>
  <si>
    <t>装修公司</t>
  </si>
  <si>
    <t>美缝</t>
  </si>
  <si>
    <t>空调</t>
  </si>
  <si>
    <t>柜机</t>
  </si>
  <si>
    <t>挂机*3</t>
  </si>
  <si>
    <t>电器</t>
  </si>
  <si>
    <t>洗碗机</t>
  </si>
  <si>
    <t>扫地机</t>
  </si>
  <si>
    <t>洗烘套</t>
  </si>
  <si>
    <t>2个小洗衣机</t>
  </si>
  <si>
    <t>冰箱</t>
  </si>
  <si>
    <t>电视</t>
  </si>
  <si>
    <t>蒸烤箱</t>
  </si>
  <si>
    <t>垃圾处理器</t>
  </si>
  <si>
    <t>电热毛巾架</t>
  </si>
  <si>
    <t>智能家居</t>
  </si>
  <si>
    <t>其他小项（茶吧机、密码锁、电饭煲）</t>
  </si>
  <si>
    <t>家具</t>
  </si>
  <si>
    <t>入户门更换</t>
  </si>
  <si>
    <t>主卧床</t>
  </si>
  <si>
    <t>次卧床</t>
  </si>
  <si>
    <t>床垫</t>
  </si>
  <si>
    <t>沙发</t>
  </si>
  <si>
    <t>餐桌/椅</t>
  </si>
  <si>
    <t>茶几</t>
  </si>
  <si>
    <t>儿童房书桌</t>
  </si>
  <si>
    <t>梳妆台</t>
  </si>
  <si>
    <t>椅子</t>
  </si>
  <si>
    <t>客厅灯带</t>
  </si>
  <si>
    <t>客厅主灯</t>
  </si>
  <si>
    <t>阳台灯</t>
  </si>
  <si>
    <t>卧室灯*4</t>
  </si>
  <si>
    <t>餐厅灯</t>
  </si>
  <si>
    <t>窗帘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</si>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</sst>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7" fontId="0" fillId="0" borderId="1" xfId="0" applyNumberFormat="1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7" fontId="0" fillId="0" borderId="1" xfId="0" applyNumberFormat="1" applyBorder="1" applyAlignment="1">
      <alignment vertical="center" wrapText="1"/>
    </xf>
    <xf numFmtId="7" fontId="0" fillId="0" borderId="0" xfId="0" applyNumberFormat="1" applyAlignment="1">
      <alignment vertical="center" wrapText="1"/>
    </xf>
    <xf numFmtId="176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workbookViewId="0">
      <selection activeCell="H10" sqref="H10"/>
    </sheetView>
  </sheetViews>
  <sheetFormatPr defaultColWidth="9" defaultRowHeight="14.4"/>
  <cols>
    <col min="1" max="1" width="6.66666666666667" style="13" customWidth="1"/>
    <col min="2" max="2" width="12.1111111111111" style="13" customWidth="1"/>
    <col min="3" max="3" width="30.5555555555556" style="13" customWidth="1"/>
    <col min="4" max="4" width="15.4444444444444" style="13" customWidth="1"/>
    <col min="5" max="6" width="14.8888888888889" style="13" customWidth="1"/>
    <col min="7" max="7" width="9.33333333333333" style="13" customWidth="1"/>
    <col min="8" max="8" width="29" style="13" customWidth="1"/>
    <col min="9" max="9" width="14.3333333333333" style="13" customWidth="1"/>
    <col min="10" max="10" width="14.5555555555556" style="13" customWidth="1"/>
    <col min="11" max="11" width="18.4444444444444" customWidth="1"/>
    <col min="12" max="12" width="19.3333333333333" customWidth="1"/>
    <col min="13" max="13" width="18" customWidth="1"/>
  </cols>
  <sheetData>
    <row r="1" ht="17.4" spans="1:10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ht="28.8" spans="1:10">
      <c r="A2" s="15">
        <v>1</v>
      </c>
      <c r="B2" s="15" t="s">
        <v>10</v>
      </c>
      <c r="C2" s="15" t="s">
        <v>11</v>
      </c>
      <c r="D2" s="15" t="s">
        <v>12</v>
      </c>
      <c r="E2" s="16">
        <v>15320</v>
      </c>
      <c r="F2" s="17">
        <v>45655</v>
      </c>
      <c r="G2" s="18" t="s">
        <v>13</v>
      </c>
      <c r="H2" s="15" t="s">
        <v>14</v>
      </c>
      <c r="I2" s="16"/>
      <c r="J2" s="16"/>
    </row>
    <row r="3" ht="28.8" spans="1:10">
      <c r="A3" s="15">
        <v>2</v>
      </c>
      <c r="B3" s="15" t="s">
        <v>15</v>
      </c>
      <c r="C3" s="15" t="s">
        <v>16</v>
      </c>
      <c r="D3" s="15" t="s">
        <v>17</v>
      </c>
      <c r="E3" s="16">
        <v>3888</v>
      </c>
      <c r="F3" s="17">
        <v>45655</v>
      </c>
      <c r="G3" s="18" t="s">
        <v>13</v>
      </c>
      <c r="H3" s="15" t="s">
        <v>18</v>
      </c>
      <c r="I3" s="16"/>
      <c r="J3" s="16"/>
    </row>
    <row r="4" spans="1:10">
      <c r="A4" s="15">
        <v>3</v>
      </c>
      <c r="B4" s="15" t="s">
        <v>19</v>
      </c>
      <c r="C4" s="15" t="s">
        <v>20</v>
      </c>
      <c r="D4" s="15" t="s">
        <v>21</v>
      </c>
      <c r="E4" s="16">
        <v>7750</v>
      </c>
      <c r="F4" s="17">
        <v>45718</v>
      </c>
      <c r="G4" s="18" t="s">
        <v>13</v>
      </c>
      <c r="H4" s="15" t="s">
        <v>22</v>
      </c>
      <c r="I4" s="16">
        <v>15500</v>
      </c>
      <c r="J4" s="16"/>
    </row>
    <row r="5" spans="1:10">
      <c r="A5" s="15">
        <v>4</v>
      </c>
      <c r="B5" s="15" t="s">
        <v>10</v>
      </c>
      <c r="C5" s="15" t="s">
        <v>23</v>
      </c>
      <c r="D5" s="15" t="s">
        <v>12</v>
      </c>
      <c r="E5" s="16">
        <v>45960</v>
      </c>
      <c r="F5" s="17">
        <v>45721</v>
      </c>
      <c r="G5" s="18" t="s">
        <v>13</v>
      </c>
      <c r="H5" s="15" t="s">
        <v>24</v>
      </c>
      <c r="I5" s="16">
        <v>153200</v>
      </c>
      <c r="J5" s="16"/>
    </row>
    <row r="6" spans="1:10">
      <c r="A6" s="15">
        <v>5</v>
      </c>
      <c r="B6" s="15" t="s">
        <v>25</v>
      </c>
      <c r="C6" s="15" t="s">
        <v>26</v>
      </c>
      <c r="D6" s="15" t="s">
        <v>25</v>
      </c>
      <c r="E6" s="16">
        <v>510.88</v>
      </c>
      <c r="F6" s="17">
        <v>45724</v>
      </c>
      <c r="G6" s="18" t="s">
        <v>13</v>
      </c>
      <c r="H6" s="15"/>
      <c r="I6" s="16"/>
      <c r="J6" s="16"/>
    </row>
    <row r="7" ht="28.8" spans="1:10">
      <c r="A7" s="15">
        <v>6</v>
      </c>
      <c r="B7" s="15" t="s">
        <v>27</v>
      </c>
      <c r="C7" s="15" t="s">
        <v>28</v>
      </c>
      <c r="D7" s="15" t="s">
        <v>29</v>
      </c>
      <c r="E7" s="16">
        <v>9020</v>
      </c>
      <c r="F7" s="17">
        <v>45724</v>
      </c>
      <c r="G7" s="18" t="s">
        <v>13</v>
      </c>
      <c r="H7" s="15" t="s">
        <v>30</v>
      </c>
      <c r="I7" s="16">
        <v>19020</v>
      </c>
      <c r="J7" s="16"/>
    </row>
    <row r="8" spans="1:10">
      <c r="A8" s="15">
        <v>7</v>
      </c>
      <c r="B8" s="15" t="s">
        <v>31</v>
      </c>
      <c r="C8" s="15" t="s">
        <v>32</v>
      </c>
      <c r="D8" s="15" t="s">
        <v>33</v>
      </c>
      <c r="E8" s="16">
        <v>2000</v>
      </c>
      <c r="F8" s="17">
        <v>45713</v>
      </c>
      <c r="G8" s="18" t="s">
        <v>34</v>
      </c>
      <c r="H8" s="15"/>
      <c r="I8" s="16"/>
      <c r="J8" s="16"/>
    </row>
    <row r="9" spans="1:10">
      <c r="A9" s="15">
        <v>8</v>
      </c>
      <c r="B9" s="15" t="s">
        <v>25</v>
      </c>
      <c r="C9" s="15" t="s">
        <v>35</v>
      </c>
      <c r="D9" s="15" t="s">
        <v>25</v>
      </c>
      <c r="E9" s="16">
        <v>5196</v>
      </c>
      <c r="F9" s="17">
        <v>45713</v>
      </c>
      <c r="G9" s="16" t="s">
        <v>34</v>
      </c>
      <c r="H9" s="15"/>
      <c r="I9" s="16"/>
      <c r="J9" s="16"/>
    </row>
    <row r="10" spans="1:10">
      <c r="A10" s="15">
        <v>9</v>
      </c>
      <c r="B10" s="15" t="s">
        <v>25</v>
      </c>
      <c r="C10" s="15" t="s">
        <v>36</v>
      </c>
      <c r="D10" s="15" t="s">
        <v>25</v>
      </c>
      <c r="E10" s="16">
        <v>459.8</v>
      </c>
      <c r="F10" s="17">
        <v>45713</v>
      </c>
      <c r="G10" s="16" t="s">
        <v>34</v>
      </c>
      <c r="H10" s="15"/>
      <c r="I10" s="16"/>
      <c r="J10" s="16"/>
    </row>
    <row r="11" spans="1:10">
      <c r="A11" s="15">
        <v>10</v>
      </c>
      <c r="B11" s="15" t="s">
        <v>31</v>
      </c>
      <c r="C11" s="15" t="s">
        <v>37</v>
      </c>
      <c r="D11" s="15" t="s">
        <v>38</v>
      </c>
      <c r="E11" s="16">
        <v>340</v>
      </c>
      <c r="F11" s="17">
        <v>45667</v>
      </c>
      <c r="G11" s="16" t="s">
        <v>13</v>
      </c>
      <c r="H11" s="15"/>
      <c r="I11" s="16"/>
      <c r="J11" s="16"/>
    </row>
    <row r="12" spans="1:10">
      <c r="A12" s="15">
        <v>11</v>
      </c>
      <c r="B12" s="15" t="s">
        <v>15</v>
      </c>
      <c r="C12" s="15" t="s">
        <v>39</v>
      </c>
      <c r="D12" s="15" t="s">
        <v>40</v>
      </c>
      <c r="E12" s="16">
        <v>3000</v>
      </c>
      <c r="F12" s="17">
        <v>45734</v>
      </c>
      <c r="G12" s="16" t="s">
        <v>13</v>
      </c>
      <c r="H12" s="15" t="s">
        <v>41</v>
      </c>
      <c r="I12" s="16" t="s">
        <v>42</v>
      </c>
      <c r="J12" s="16"/>
    </row>
    <row r="13" spans="1:10">
      <c r="A13" s="15">
        <v>12</v>
      </c>
      <c r="B13" s="15" t="s">
        <v>10</v>
      </c>
      <c r="C13" s="15" t="s">
        <v>43</v>
      </c>
      <c r="D13" s="15" t="s">
        <v>12</v>
      </c>
      <c r="E13" s="16">
        <v>461</v>
      </c>
      <c r="F13" s="17">
        <v>45733</v>
      </c>
      <c r="G13" s="16" t="s">
        <v>34</v>
      </c>
      <c r="H13" s="15"/>
      <c r="I13" s="16"/>
      <c r="J13" s="16"/>
    </row>
    <row r="14" spans="1:10">
      <c r="A14" s="15">
        <v>13</v>
      </c>
      <c r="B14" s="15" t="s">
        <v>44</v>
      </c>
      <c r="C14" s="15" t="s">
        <v>45</v>
      </c>
      <c r="D14" s="15" t="s">
        <v>46</v>
      </c>
      <c r="E14" s="16">
        <v>1700</v>
      </c>
      <c r="F14" s="17">
        <v>45736</v>
      </c>
      <c r="G14" s="16" t="s">
        <v>34</v>
      </c>
      <c r="H14" s="15" t="s">
        <v>47</v>
      </c>
      <c r="I14" s="16">
        <v>4380</v>
      </c>
      <c r="J14" s="16"/>
    </row>
    <row r="15" spans="1:10">
      <c r="A15" s="15">
        <v>14</v>
      </c>
      <c r="B15" s="15" t="s">
        <v>48</v>
      </c>
      <c r="C15" s="15" t="s">
        <v>49</v>
      </c>
      <c r="D15" s="15" t="s">
        <v>50</v>
      </c>
      <c r="E15" s="16">
        <v>1613.33</v>
      </c>
      <c r="F15" s="17">
        <v>45736</v>
      </c>
      <c r="G15" s="16" t="s">
        <v>34</v>
      </c>
      <c r="H15" s="15"/>
      <c r="I15" s="16"/>
      <c r="J15" s="16"/>
    </row>
    <row r="16" spans="1:10">
      <c r="A16" s="15">
        <v>15</v>
      </c>
      <c r="B16" s="15" t="s">
        <v>51</v>
      </c>
      <c r="C16" s="15" t="s">
        <v>52</v>
      </c>
      <c r="D16" s="15" t="s">
        <v>53</v>
      </c>
      <c r="E16" s="16">
        <v>6787</v>
      </c>
      <c r="F16" s="17">
        <v>45739</v>
      </c>
      <c r="G16" s="16" t="s">
        <v>13</v>
      </c>
      <c r="H16" s="15" t="s">
        <v>54</v>
      </c>
      <c r="I16" s="16">
        <v>13000</v>
      </c>
      <c r="J16" s="16"/>
    </row>
    <row r="17" spans="1:10">
      <c r="A17" s="15">
        <v>16</v>
      </c>
      <c r="B17" s="15" t="s">
        <v>51</v>
      </c>
      <c r="C17" s="15" t="s">
        <v>55</v>
      </c>
      <c r="D17" s="15" t="s">
        <v>53</v>
      </c>
      <c r="E17" s="16">
        <f>5293.87+237.97</f>
        <v>5531.84</v>
      </c>
      <c r="F17" s="17">
        <v>45750</v>
      </c>
      <c r="G17" s="16" t="s">
        <v>13</v>
      </c>
      <c r="H17" s="15" t="s">
        <v>56</v>
      </c>
      <c r="I17" s="16">
        <v>12318.84</v>
      </c>
      <c r="J17" s="16">
        <v>0</v>
      </c>
    </row>
    <row r="18" spans="1:10">
      <c r="A18" s="15">
        <v>17</v>
      </c>
      <c r="B18" s="15" t="s">
        <v>51</v>
      </c>
      <c r="C18" s="15" t="s">
        <v>57</v>
      </c>
      <c r="D18" s="15" t="s">
        <v>53</v>
      </c>
      <c r="E18" s="16">
        <v>-287.2</v>
      </c>
      <c r="F18" s="17">
        <v>45756</v>
      </c>
      <c r="G18" s="16" t="s">
        <v>13</v>
      </c>
      <c r="H18" s="15"/>
      <c r="I18" s="16"/>
      <c r="J18" s="16"/>
    </row>
    <row r="19" spans="1:10">
      <c r="A19" s="15">
        <v>18</v>
      </c>
      <c r="B19" s="15" t="s">
        <v>58</v>
      </c>
      <c r="C19" s="15" t="s">
        <v>59</v>
      </c>
      <c r="D19" s="15" t="s">
        <v>60</v>
      </c>
      <c r="E19" s="16">
        <v>180</v>
      </c>
      <c r="F19" s="17">
        <v>45750</v>
      </c>
      <c r="G19" s="16" t="s">
        <v>34</v>
      </c>
      <c r="H19" s="15"/>
      <c r="I19" s="16"/>
      <c r="J19" s="16"/>
    </row>
    <row r="20" spans="1:10">
      <c r="A20" s="15">
        <v>19</v>
      </c>
      <c r="B20" s="15" t="s">
        <v>44</v>
      </c>
      <c r="C20" s="15" t="s">
        <v>61</v>
      </c>
      <c r="D20" s="15" t="s">
        <v>46</v>
      </c>
      <c r="E20" s="16">
        <v>2680</v>
      </c>
      <c r="F20" s="17">
        <v>45756</v>
      </c>
      <c r="G20" s="16" t="s">
        <v>34</v>
      </c>
      <c r="H20" s="15" t="s">
        <v>62</v>
      </c>
      <c r="I20" s="16">
        <v>4380</v>
      </c>
      <c r="J20" s="16">
        <v>0</v>
      </c>
    </row>
    <row r="21" spans="1:10">
      <c r="A21" s="15">
        <v>20</v>
      </c>
      <c r="B21" s="15" t="s">
        <v>51</v>
      </c>
      <c r="C21" s="15" t="s">
        <v>55</v>
      </c>
      <c r="D21" s="15" t="s">
        <v>53</v>
      </c>
      <c r="E21" s="16">
        <v>160</v>
      </c>
      <c r="F21" s="17">
        <v>45760</v>
      </c>
      <c r="G21" s="16" t="s">
        <v>13</v>
      </c>
      <c r="H21" s="15"/>
      <c r="I21" s="16"/>
      <c r="J21" s="16"/>
    </row>
    <row r="22" spans="1:10">
      <c r="A22" s="15">
        <v>21</v>
      </c>
      <c r="B22" s="15" t="s">
        <v>19</v>
      </c>
      <c r="C22" s="15" t="s">
        <v>63</v>
      </c>
      <c r="D22" s="15" t="s">
        <v>21</v>
      </c>
      <c r="E22" s="16">
        <v>6200</v>
      </c>
      <c r="F22" s="17">
        <v>45759</v>
      </c>
      <c r="G22" s="16" t="s">
        <v>13</v>
      </c>
      <c r="H22" s="15" t="s">
        <v>64</v>
      </c>
      <c r="I22" s="16">
        <v>15500</v>
      </c>
      <c r="J22" s="16"/>
    </row>
    <row r="23" spans="1:10">
      <c r="A23" s="15">
        <v>22</v>
      </c>
      <c r="B23" s="15" t="s">
        <v>15</v>
      </c>
      <c r="C23" s="15" t="s">
        <v>65</v>
      </c>
      <c r="D23" s="15" t="s">
        <v>40</v>
      </c>
      <c r="E23" s="16">
        <v>-66.66</v>
      </c>
      <c r="F23" s="17">
        <v>45759</v>
      </c>
      <c r="G23" s="16" t="s">
        <v>34</v>
      </c>
      <c r="H23" s="15"/>
      <c r="I23" s="16"/>
      <c r="J23" s="16"/>
    </row>
    <row r="24" spans="1:10">
      <c r="A24" s="15">
        <v>23</v>
      </c>
      <c r="B24" s="15" t="s">
        <v>51</v>
      </c>
      <c r="C24" s="15" t="s">
        <v>66</v>
      </c>
      <c r="D24" s="15" t="s">
        <v>67</v>
      </c>
      <c r="E24" s="16">
        <v>130</v>
      </c>
      <c r="F24" s="17">
        <v>45762</v>
      </c>
      <c r="G24" s="16" t="s">
        <v>13</v>
      </c>
      <c r="H24" s="15"/>
      <c r="I24" s="16"/>
      <c r="J24" s="16"/>
    </row>
    <row r="25" spans="1:10">
      <c r="A25" s="15">
        <v>24</v>
      </c>
      <c r="B25" s="15" t="s">
        <v>51</v>
      </c>
      <c r="C25" s="15" t="s">
        <v>68</v>
      </c>
      <c r="D25" s="15" t="s">
        <v>53</v>
      </c>
      <c r="E25" s="16">
        <v>217</v>
      </c>
      <c r="F25" s="17">
        <v>45765</v>
      </c>
      <c r="G25" s="16" t="s">
        <v>13</v>
      </c>
      <c r="H25" s="15"/>
      <c r="I25" s="16"/>
      <c r="J25" s="16"/>
    </row>
    <row r="26" spans="1:10">
      <c r="A26" s="15">
        <v>25</v>
      </c>
      <c r="B26" s="15" t="s">
        <v>27</v>
      </c>
      <c r="C26" s="15" t="s">
        <v>69</v>
      </c>
      <c r="D26" s="15" t="s">
        <v>29</v>
      </c>
      <c r="E26" s="16">
        <v>7650</v>
      </c>
      <c r="F26" s="17">
        <v>45765</v>
      </c>
      <c r="G26" s="16" t="s">
        <v>13</v>
      </c>
      <c r="H26" s="15" t="s">
        <v>70</v>
      </c>
      <c r="I26" s="16"/>
      <c r="J26" s="16">
        <v>2150</v>
      </c>
    </row>
    <row r="27" customFormat="1" spans="1:10">
      <c r="A27" s="15">
        <v>26</v>
      </c>
      <c r="B27" s="15" t="s">
        <v>19</v>
      </c>
      <c r="C27" s="15" t="s">
        <v>71</v>
      </c>
      <c r="D27" s="15" t="s">
        <v>21</v>
      </c>
      <c r="E27" s="16">
        <v>1550</v>
      </c>
      <c r="F27" s="17">
        <v>45769</v>
      </c>
      <c r="G27" s="16" t="s">
        <v>13</v>
      </c>
      <c r="H27" s="15" t="s">
        <v>64</v>
      </c>
      <c r="I27" s="16">
        <v>15500</v>
      </c>
      <c r="J27" s="16">
        <v>0</v>
      </c>
    </row>
    <row r="28" spans="1:10">
      <c r="A28" s="15">
        <v>27</v>
      </c>
      <c r="B28" s="15" t="s">
        <v>72</v>
      </c>
      <c r="C28" s="15" t="s">
        <v>73</v>
      </c>
      <c r="D28" s="15" t="s">
        <v>74</v>
      </c>
      <c r="E28" s="16">
        <v>650</v>
      </c>
      <c r="F28" s="17">
        <v>45771</v>
      </c>
      <c r="G28" s="16" t="s">
        <v>13</v>
      </c>
      <c r="H28" s="15"/>
      <c r="I28" s="16"/>
      <c r="J28" s="16"/>
    </row>
    <row r="29" spans="1:10">
      <c r="A29" s="15">
        <v>28</v>
      </c>
      <c r="B29" s="15" t="s">
        <v>44</v>
      </c>
      <c r="C29" s="15" t="s">
        <v>75</v>
      </c>
      <c r="D29" s="15" t="s">
        <v>46</v>
      </c>
      <c r="E29" s="16">
        <v>66.66</v>
      </c>
      <c r="F29" s="17">
        <v>45772</v>
      </c>
      <c r="G29" s="16" t="s">
        <v>34</v>
      </c>
      <c r="H29" s="15"/>
      <c r="I29" s="16"/>
      <c r="J29" s="16"/>
    </row>
    <row r="30" s="11" customFormat="1" spans="1:10">
      <c r="A30" s="15">
        <v>29</v>
      </c>
      <c r="B30" s="19" t="s">
        <v>76</v>
      </c>
      <c r="C30" s="19" t="s">
        <v>77</v>
      </c>
      <c r="D30" s="19" t="s">
        <v>78</v>
      </c>
      <c r="E30" s="20">
        <v>500</v>
      </c>
      <c r="F30" s="17">
        <v>45773</v>
      </c>
      <c r="G30" s="20" t="s">
        <v>34</v>
      </c>
      <c r="H30" s="19"/>
      <c r="I30" s="20">
        <v>6000</v>
      </c>
      <c r="J30" s="20">
        <v>5500</v>
      </c>
    </row>
    <row r="31" s="11" customFormat="1" ht="16" customHeight="1" spans="1:10">
      <c r="A31" s="15">
        <v>30</v>
      </c>
      <c r="B31" s="19" t="s">
        <v>79</v>
      </c>
      <c r="C31" s="19" t="s">
        <v>80</v>
      </c>
      <c r="D31" s="19" t="s">
        <v>74</v>
      </c>
      <c r="E31" s="20"/>
      <c r="F31" s="17">
        <v>45787</v>
      </c>
      <c r="G31" s="20" t="s">
        <v>34</v>
      </c>
      <c r="H31" s="19"/>
      <c r="I31" s="20"/>
      <c r="J31" s="20"/>
    </row>
    <row r="32" s="12" customFormat="1" ht="16" customHeight="1" spans="1:10">
      <c r="A32" s="15">
        <v>31</v>
      </c>
      <c r="B32" s="19" t="s">
        <v>51</v>
      </c>
      <c r="C32" s="19" t="s">
        <v>81</v>
      </c>
      <c r="D32" s="19" t="s">
        <v>53</v>
      </c>
      <c r="E32" s="20">
        <v>-272.8</v>
      </c>
      <c r="F32" s="17">
        <v>45790</v>
      </c>
      <c r="G32" s="20" t="s">
        <v>13</v>
      </c>
      <c r="H32" s="19"/>
      <c r="I32" s="20"/>
      <c r="J32" s="20"/>
    </row>
    <row r="33" s="12" customFormat="1" spans="1:10">
      <c r="A33" s="15">
        <v>32</v>
      </c>
      <c r="B33" s="15" t="s">
        <v>10</v>
      </c>
      <c r="C33" s="19" t="s">
        <v>82</v>
      </c>
      <c r="D33" s="19" t="s">
        <v>12</v>
      </c>
      <c r="E33" s="20">
        <v>53620</v>
      </c>
      <c r="F33" s="17">
        <v>45801</v>
      </c>
      <c r="G33" s="20" t="s">
        <v>13</v>
      </c>
      <c r="H33" s="15" t="s">
        <v>83</v>
      </c>
      <c r="I33" s="16">
        <v>153200</v>
      </c>
      <c r="J33" s="16">
        <f>I33*0.25</f>
        <v>38300</v>
      </c>
    </row>
    <row r="34" spans="5:10">
      <c r="E34" s="21"/>
      <c r="F34" s="22"/>
      <c r="G34" s="21"/>
      <c r="I34" s="21"/>
      <c r="J34" s="21"/>
    </row>
    <row r="35" spans="4:10">
      <c r="D35" s="13" t="s">
        <v>84</v>
      </c>
      <c r="E35" s="21">
        <f>SUM(E2:E34)</f>
        <v>182514.85</v>
      </c>
      <c r="F35" s="21"/>
      <c r="G35" s="21"/>
      <c r="I35" s="21" t="s">
        <v>85</v>
      </c>
      <c r="J35" s="21">
        <f>SUM(J2:J34)</f>
        <v>45950</v>
      </c>
    </row>
    <row r="36" spans="5:10">
      <c r="E36" s="21"/>
      <c r="F36" s="21"/>
      <c r="G36" s="21"/>
      <c r="I36" s="21"/>
      <c r="J36" s="21"/>
    </row>
    <row r="37" spans="5:10">
      <c r="E37" s="21"/>
      <c r="F37" s="21"/>
      <c r="G37" s="21"/>
      <c r="I37" s="21"/>
      <c r="J37" s="21"/>
    </row>
    <row r="38" spans="5:10">
      <c r="E38" s="21"/>
      <c r="F38" s="21"/>
      <c r="G38" s="21"/>
      <c r="I38" s="21"/>
      <c r="J38" s="2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topLeftCell="A10" workbookViewId="0">
      <selection activeCell="F15" sqref="F15"/>
    </sheetView>
  </sheetViews>
  <sheetFormatPr defaultColWidth="9" defaultRowHeight="14.4" outlineLevelCol="4"/>
  <cols>
    <col min="1" max="1" width="10.6666666666667" customWidth="1"/>
    <col min="2" max="2" width="14.6666666666667" customWidth="1"/>
    <col min="3" max="3" width="25.3333333333333" customWidth="1"/>
    <col min="4" max="4" width="14.6666666666667" customWidth="1"/>
    <col min="5" max="5" width="17.6666666666667" customWidth="1"/>
  </cols>
  <sheetData>
    <row r="1" spans="1:5">
      <c r="A1" s="1" t="s">
        <v>1</v>
      </c>
      <c r="B1" s="1" t="s">
        <v>86</v>
      </c>
      <c r="C1" s="1" t="s">
        <v>87</v>
      </c>
      <c r="D1" s="1" t="s">
        <v>88</v>
      </c>
      <c r="E1" s="1" t="s">
        <v>89</v>
      </c>
    </row>
    <row r="2" spans="1:4">
      <c r="A2" s="2"/>
      <c r="B2" s="2"/>
      <c r="C2" s="2"/>
      <c r="D2" s="2"/>
    </row>
    <row r="3" spans="1:5">
      <c r="A3" s="2"/>
      <c r="B3" s="2"/>
      <c r="C3" s="2"/>
      <c r="D3" s="2"/>
      <c r="E3" s="3"/>
    </row>
    <row r="4" spans="1:5">
      <c r="A4" s="2" t="s">
        <v>90</v>
      </c>
      <c r="B4" s="2">
        <v>2340</v>
      </c>
      <c r="C4" s="2"/>
      <c r="D4" s="2"/>
      <c r="E4" s="2">
        <v>2340</v>
      </c>
    </row>
    <row r="5" spans="1:5">
      <c r="A5" s="2" t="s">
        <v>25</v>
      </c>
      <c r="B5" s="2">
        <v>6166</v>
      </c>
      <c r="C5" s="2"/>
      <c r="D5" s="2"/>
      <c r="E5" s="2">
        <v>6166</v>
      </c>
    </row>
    <row r="6" spans="1:5">
      <c r="A6" s="2" t="s">
        <v>10</v>
      </c>
      <c r="B6" s="2">
        <v>153200</v>
      </c>
      <c r="C6" s="2" t="s">
        <v>91</v>
      </c>
      <c r="D6" s="2"/>
      <c r="E6" s="2">
        <v>153200</v>
      </c>
    </row>
    <row r="7" spans="1:5">
      <c r="A7" s="2" t="s">
        <v>51</v>
      </c>
      <c r="B7" s="2">
        <v>13200</v>
      </c>
      <c r="C7" s="2"/>
      <c r="D7" s="2"/>
      <c r="E7" s="2">
        <v>12318.84</v>
      </c>
    </row>
    <row r="8" spans="1:5">
      <c r="A8" s="2" t="s">
        <v>19</v>
      </c>
      <c r="B8" s="2">
        <v>15500</v>
      </c>
      <c r="C8" s="2"/>
      <c r="D8" s="2"/>
      <c r="E8" s="2">
        <v>15500</v>
      </c>
    </row>
    <row r="9" spans="1:5">
      <c r="A9" s="2" t="s">
        <v>27</v>
      </c>
      <c r="B9" s="2">
        <v>19000</v>
      </c>
      <c r="C9" s="2"/>
      <c r="D9" s="2"/>
      <c r="E9" s="2">
        <v>18800</v>
      </c>
    </row>
    <row r="10" spans="1:5">
      <c r="A10" s="2" t="s">
        <v>92</v>
      </c>
      <c r="B10" s="2">
        <v>3000</v>
      </c>
      <c r="C10" s="2"/>
      <c r="D10" s="2"/>
      <c r="E10" s="2"/>
    </row>
    <row r="11" spans="1:5">
      <c r="A11" s="2" t="s">
        <v>15</v>
      </c>
      <c r="B11" s="2">
        <v>40000</v>
      </c>
      <c r="C11" s="2"/>
      <c r="D11" s="2"/>
      <c r="E11" s="2"/>
    </row>
    <row r="12" spans="1:5">
      <c r="A12" s="4" t="s">
        <v>76</v>
      </c>
      <c r="B12" s="4">
        <v>8000</v>
      </c>
      <c r="C12" s="2"/>
      <c r="D12" s="2"/>
      <c r="E12" s="2"/>
    </row>
    <row r="13" spans="1:5">
      <c r="A13" s="5" t="s">
        <v>93</v>
      </c>
      <c r="B13" s="5">
        <v>20000</v>
      </c>
      <c r="C13" s="2" t="s">
        <v>44</v>
      </c>
      <c r="D13" s="2">
        <v>4380</v>
      </c>
      <c r="E13" s="2">
        <v>4380</v>
      </c>
    </row>
    <row r="14" spans="1:5">
      <c r="A14" s="6"/>
      <c r="B14" s="6"/>
      <c r="C14" s="2" t="s">
        <v>94</v>
      </c>
      <c r="D14" s="2">
        <v>7200</v>
      </c>
      <c r="E14" s="2"/>
    </row>
    <row r="15" spans="1:5">
      <c r="A15" s="7"/>
      <c r="B15" s="7"/>
      <c r="C15" s="2" t="s">
        <v>95</v>
      </c>
      <c r="D15" s="2">
        <v>7000</v>
      </c>
      <c r="E15" s="2"/>
    </row>
    <row r="16" spans="1:5">
      <c r="A16" s="5" t="s">
        <v>96</v>
      </c>
      <c r="B16" s="8">
        <v>45000</v>
      </c>
      <c r="C16" s="2" t="s">
        <v>97</v>
      </c>
      <c r="D16" s="2">
        <v>5000</v>
      </c>
      <c r="E16" s="2"/>
    </row>
    <row r="17" spans="1:5">
      <c r="A17" s="6"/>
      <c r="B17" s="8"/>
      <c r="C17" s="2" t="s">
        <v>98</v>
      </c>
      <c r="D17" s="2">
        <v>2500</v>
      </c>
      <c r="E17" s="2"/>
    </row>
    <row r="18" spans="1:5">
      <c r="A18" s="6"/>
      <c r="B18" s="8"/>
      <c r="C18" s="2" t="s">
        <v>99</v>
      </c>
      <c r="D18" s="9">
        <v>6000</v>
      </c>
      <c r="E18" s="2"/>
    </row>
    <row r="19" spans="1:5">
      <c r="A19" s="6"/>
      <c r="B19" s="8"/>
      <c r="C19" s="2" t="s">
        <v>100</v>
      </c>
      <c r="D19" s="9">
        <v>4000</v>
      </c>
      <c r="E19" s="2"/>
    </row>
    <row r="20" spans="1:5">
      <c r="A20" s="6"/>
      <c r="B20" s="8"/>
      <c r="C20" s="2" t="s">
        <v>101</v>
      </c>
      <c r="D20" s="9">
        <v>4500</v>
      </c>
      <c r="E20" s="2"/>
    </row>
    <row r="21" spans="1:5">
      <c r="A21" s="6"/>
      <c r="B21" s="8"/>
      <c r="C21" s="2" t="s">
        <v>102</v>
      </c>
      <c r="D21" s="9">
        <v>5500</v>
      </c>
      <c r="E21" s="2"/>
    </row>
    <row r="22" spans="1:5">
      <c r="A22" s="6"/>
      <c r="B22" s="8"/>
      <c r="C22" s="2" t="s">
        <v>103</v>
      </c>
      <c r="D22" s="9">
        <v>1800</v>
      </c>
      <c r="E22" s="2"/>
    </row>
    <row r="23" spans="1:5">
      <c r="A23" s="6"/>
      <c r="B23" s="8"/>
      <c r="C23" s="2" t="s">
        <v>104</v>
      </c>
      <c r="D23" s="9">
        <v>1500</v>
      </c>
      <c r="E23" s="2"/>
    </row>
    <row r="24" spans="1:5">
      <c r="A24" s="6"/>
      <c r="B24" s="8"/>
      <c r="C24" s="2"/>
      <c r="D24" s="9"/>
      <c r="E24" s="2"/>
    </row>
    <row r="25" spans="1:5">
      <c r="A25" s="6"/>
      <c r="B25" s="8"/>
      <c r="C25" s="2" t="s">
        <v>105</v>
      </c>
      <c r="D25" s="9"/>
      <c r="E25" s="2"/>
    </row>
    <row r="26" spans="1:5">
      <c r="A26" s="6"/>
      <c r="B26" s="8"/>
      <c r="C26" s="2" t="s">
        <v>106</v>
      </c>
      <c r="D26" s="9">
        <v>2000</v>
      </c>
      <c r="E26" s="2"/>
    </row>
    <row r="27" spans="1:5">
      <c r="A27" s="7"/>
      <c r="B27" s="2"/>
      <c r="C27" s="2" t="s">
        <v>107</v>
      </c>
      <c r="D27" s="2">
        <v>2000</v>
      </c>
      <c r="E27" s="2"/>
    </row>
    <row r="28" spans="1:5">
      <c r="A28" s="5" t="s">
        <v>108</v>
      </c>
      <c r="B28" s="5">
        <v>45000</v>
      </c>
      <c r="C28" s="2" t="s">
        <v>109</v>
      </c>
      <c r="D28" s="2">
        <v>3000</v>
      </c>
      <c r="E28" s="2"/>
    </row>
    <row r="29" spans="1:5">
      <c r="A29" s="6"/>
      <c r="B29" s="6"/>
      <c r="C29" s="2" t="s">
        <v>110</v>
      </c>
      <c r="D29" s="2">
        <v>3000</v>
      </c>
      <c r="E29" s="2"/>
    </row>
    <row r="30" spans="1:5">
      <c r="A30" s="6"/>
      <c r="B30" s="6"/>
      <c r="C30" s="2" t="s">
        <v>111</v>
      </c>
      <c r="D30" s="2">
        <v>2000</v>
      </c>
      <c r="E30" s="2"/>
    </row>
    <row r="31" spans="1:5">
      <c r="A31" s="6"/>
      <c r="B31" s="6"/>
      <c r="C31" s="2" t="s">
        <v>112</v>
      </c>
      <c r="D31" s="2">
        <v>8000</v>
      </c>
      <c r="E31" s="2"/>
    </row>
    <row r="32" spans="1:5">
      <c r="A32" s="6"/>
      <c r="B32" s="6"/>
      <c r="C32" s="2" t="s">
        <v>113</v>
      </c>
      <c r="D32" s="2">
        <v>6000</v>
      </c>
      <c r="E32" s="2"/>
    </row>
    <row r="33" spans="1:5">
      <c r="A33" s="6"/>
      <c r="B33" s="6"/>
      <c r="C33" s="2" t="s">
        <v>114</v>
      </c>
      <c r="D33" s="2">
        <v>2000</v>
      </c>
      <c r="E33" s="2"/>
    </row>
    <row r="34" spans="1:5">
      <c r="A34" s="6"/>
      <c r="B34" s="6"/>
      <c r="C34" s="2" t="s">
        <v>115</v>
      </c>
      <c r="D34" s="2">
        <v>1000</v>
      </c>
      <c r="E34" s="2"/>
    </row>
    <row r="35" spans="1:5">
      <c r="A35" s="6"/>
      <c r="B35" s="6"/>
      <c r="C35" s="2" t="s">
        <v>116</v>
      </c>
      <c r="D35" s="2"/>
      <c r="E35" s="2"/>
    </row>
    <row r="36" spans="1:5">
      <c r="A36" s="6"/>
      <c r="B36" s="6"/>
      <c r="C36" s="2" t="s">
        <v>117</v>
      </c>
      <c r="D36" s="2">
        <v>1000</v>
      </c>
      <c r="E36" s="2"/>
    </row>
    <row r="37" spans="1:5">
      <c r="A37" s="6"/>
      <c r="B37" s="6"/>
      <c r="C37" s="2" t="s">
        <v>118</v>
      </c>
      <c r="D37" s="2"/>
      <c r="E37" s="2"/>
    </row>
    <row r="38" spans="1:5">
      <c r="A38" s="6"/>
      <c r="B38" s="6"/>
      <c r="C38" s="2"/>
      <c r="D38" s="2"/>
      <c r="E38" s="2"/>
    </row>
    <row r="39" spans="1:5">
      <c r="A39" s="7"/>
      <c r="B39" s="7"/>
      <c r="C39" s="2"/>
      <c r="D39" s="2"/>
      <c r="E39" s="2"/>
    </row>
    <row r="40" spans="1:5">
      <c r="A40" s="5" t="s">
        <v>72</v>
      </c>
      <c r="B40" s="2">
        <v>5000</v>
      </c>
      <c r="C40" s="2" t="s">
        <v>119</v>
      </c>
      <c r="D40" s="2">
        <v>650</v>
      </c>
      <c r="E40" s="2"/>
    </row>
    <row r="41" spans="1:5">
      <c r="A41" s="6"/>
      <c r="B41" s="2"/>
      <c r="C41" s="2" t="s">
        <v>120</v>
      </c>
      <c r="D41" s="2"/>
      <c r="E41" s="2"/>
    </row>
    <row r="42" spans="1:5">
      <c r="A42" s="6"/>
      <c r="B42" s="2"/>
      <c r="C42" s="2" t="s">
        <v>121</v>
      </c>
      <c r="D42" s="2"/>
      <c r="E42" s="2"/>
    </row>
    <row r="43" spans="1:5">
      <c r="A43" s="6"/>
      <c r="B43" s="2"/>
      <c r="C43" s="2" t="s">
        <v>122</v>
      </c>
      <c r="D43" s="2"/>
      <c r="E43" s="2"/>
    </row>
    <row r="44" spans="1:5">
      <c r="A44" s="6"/>
      <c r="B44" s="2"/>
      <c r="C44" s="2" t="s">
        <v>123</v>
      </c>
      <c r="D44" s="2"/>
      <c r="E44" s="2"/>
    </row>
    <row r="45" spans="1:5">
      <c r="A45" s="7"/>
      <c r="B45" s="2"/>
      <c r="C45" s="2"/>
      <c r="D45" s="2"/>
      <c r="E45" s="2"/>
    </row>
    <row r="46" spans="1:5">
      <c r="A46" s="2" t="s">
        <v>124</v>
      </c>
      <c r="B46" s="2">
        <v>3000</v>
      </c>
      <c r="C46" s="2"/>
      <c r="D46" s="2"/>
      <c r="E46" s="2"/>
    </row>
    <row r="47" spans="1:5">
      <c r="A47" s="10"/>
      <c r="B47" s="10"/>
      <c r="C47" s="2"/>
      <c r="D47" s="10"/>
      <c r="E47" s="10"/>
    </row>
    <row r="48" spans="1:5">
      <c r="A48" s="2"/>
      <c r="B48" s="2"/>
      <c r="C48" s="2"/>
      <c r="D48" s="2"/>
      <c r="E48" s="2"/>
    </row>
    <row r="49" spans="1:5">
      <c r="A49" s="2"/>
      <c r="B49" s="2"/>
      <c r="C49" s="2"/>
      <c r="D49" s="2"/>
      <c r="E49" s="2"/>
    </row>
    <row r="50" spans="1:5">
      <c r="A50" s="2"/>
      <c r="B50" s="2"/>
      <c r="C50" s="2"/>
      <c r="D50" s="2"/>
      <c r="E50" s="2"/>
    </row>
    <row r="51" spans="1:5">
      <c r="A51" s="2"/>
      <c r="B51" s="2"/>
      <c r="C51" s="2"/>
      <c r="D51" s="2"/>
      <c r="E51" s="2"/>
    </row>
    <row r="52" spans="1:5">
      <c r="A52" s="2" t="s">
        <v>125</v>
      </c>
      <c r="B52" s="2">
        <f>SUM(B3:B46)</f>
        <v>378406</v>
      </c>
      <c r="C52" s="2"/>
      <c r="D52" s="2"/>
      <c r="E52" s="2">
        <f>SUM(E3:E14)</f>
        <v>212704.84</v>
      </c>
    </row>
  </sheetData>
  <mergeCells count="7">
    <mergeCell ref="A13:A15"/>
    <mergeCell ref="A16:A27"/>
    <mergeCell ref="A28:A39"/>
    <mergeCell ref="A40:A45"/>
    <mergeCell ref="B13:B15"/>
    <mergeCell ref="B16:B27"/>
    <mergeCell ref="B28:B3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</dc:creator>
  <cp:lastModifiedBy>官震</cp:lastModifiedBy>
  <dcterms:created xsi:type="dcterms:W3CDTF">2023-05-12T11:15:00Z</dcterms:created>
  <dcterms:modified xsi:type="dcterms:W3CDTF">2025-05-25T08:32:44Z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7216717F5E374A09A214A90A6BD0C7AF_12</vt:lpwstr>
  </property>
</Properties>
</file>