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明细表" sheetId="1" r:id="rId1"/>
    <sheet name="类目预算表" sheetId="2" r:id="rId2"/>
    <sheet name="Sheet3" sheetId="3" r:id="rId3"/>
  </sheets>
  <definedNames>
    <definedName name="_xlnm._FilterDatabase" localSheetId="0" hidden="1">明细表!$A$1:$J$16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<sst xmlns="http://schemas.openxmlformats.org/spreadsheetml/2006/main" count="121" uniqueCount="110">
  <si>
    <t>序号</t>
  </si>
  <si>
    <t>类型</t>
  </si>
  <si>
    <t>具体内容</t>
  </si>
  <si>
    <t>商家</t>
  </si>
  <si>
    <t>金额</t>
  </si>
  <si>
    <t>日期</t>
  </si>
  <si>
    <t>付款人</t>
  </si>
  <si>
    <t>备注</t>
  </si>
  <si>
    <t>总金额</t>
  </si>
  <si>
    <t>剩余金额</t>
  </si>
  <si>
    <t>硬装（示例）</t>
  </si>
  <si>
    <t>全包装修公司合同签订，定金为合同的10%</t>
  </si>
  <si>
    <t>xx装饰</t>
  </si>
  <si>
    <t>g</t>
  </si>
  <si>
    <t>总金额：100000，剩余90%</t>
  </si>
  <si>
    <t>封窗（示例）</t>
  </si>
  <si>
    <t>封窗合同签订，定金为合同50%</t>
  </si>
  <si>
    <t>x逸</t>
  </si>
  <si>
    <t>总金额：20000，剩余50%</t>
  </si>
  <si>
    <t>物业（示例）</t>
  </si>
  <si>
    <t>交房：维修基金、物业费、日常建筑垃圾指定地点清运</t>
  </si>
  <si>
    <t>物业</t>
  </si>
  <si>
    <t>地暖（示例）</t>
  </si>
  <si>
    <t>地暖合同签订，通过云闪付国补购买锅炉</t>
  </si>
  <si>
    <t>威能</t>
  </si>
  <si>
    <t>总金额：20000，剩余10000</t>
  </si>
  <si>
    <t>打拆（示例）</t>
  </si>
  <si>
    <t>墙体打拆、保温层拆除</t>
  </si>
  <si>
    <t>打拆个人</t>
  </si>
  <si>
    <t>q</t>
  </si>
  <si>
    <t>定制（示例）</t>
  </si>
  <si>
    <t>定制定金</t>
  </si>
  <si>
    <t>简x</t>
  </si>
  <si>
    <t>总金额：设计确定后计算</t>
  </si>
  <si>
    <t>燃气（示例）</t>
  </si>
  <si>
    <t>燃气改造</t>
  </si>
  <si>
    <t>燃气公司</t>
  </si>
  <si>
    <t>推拉门（示例）</t>
  </si>
  <si>
    <t>厨房+书房推拉门定金</t>
  </si>
  <si>
    <t>xx门业</t>
  </si>
  <si>
    <t>总金额：8000，剩余7500</t>
  </si>
  <si>
    <t>电器（示例）</t>
  </si>
  <si>
    <t>扫地机</t>
  </si>
  <si>
    <t>京东商家</t>
  </si>
  <si>
    <t>美缝（示例）</t>
  </si>
  <si>
    <t>美缝包工包料定金</t>
  </si>
  <si>
    <t>xx美缝</t>
  </si>
  <si>
    <t>总金额：3000，剩余2500</t>
  </si>
  <si>
    <t>实付总计：</t>
  </si>
  <si>
    <t>剩余总计：</t>
  </si>
  <si>
    <t>大类</t>
  </si>
  <si>
    <t>大类预算</t>
  </si>
  <si>
    <t>小类别</t>
  </si>
  <si>
    <t>小类预算</t>
  </si>
  <si>
    <t>实际总金额（示例）</t>
  </si>
  <si>
    <t>打拆</t>
  </si>
  <si>
    <t>硬装</t>
  </si>
  <si>
    <t>装修公司</t>
  </si>
  <si>
    <t>水电</t>
  </si>
  <si>
    <t>封窗</t>
  </si>
  <si>
    <t>地暖</t>
  </si>
  <si>
    <t>美缝</t>
  </si>
  <si>
    <t>定制</t>
  </si>
  <si>
    <t>推拉门</t>
  </si>
  <si>
    <t>空调</t>
  </si>
  <si>
    <t>风管机</t>
  </si>
  <si>
    <t>柜机</t>
  </si>
  <si>
    <t>儿童房挂机</t>
  </si>
  <si>
    <t>次卧挂机</t>
  </si>
  <si>
    <t>书房挂机</t>
  </si>
  <si>
    <t>电器</t>
  </si>
  <si>
    <t>洗碗机</t>
  </si>
  <si>
    <t>洗烘套</t>
  </si>
  <si>
    <t>儿童小洗衣机</t>
  </si>
  <si>
    <t>小洗衣机</t>
  </si>
  <si>
    <t>冰箱</t>
  </si>
  <si>
    <t>电视机</t>
  </si>
  <si>
    <t>蒸烤箱</t>
  </si>
  <si>
    <t>垃圾处理器</t>
  </si>
  <si>
    <t>前置过滤器</t>
  </si>
  <si>
    <t>电热毛巾架</t>
  </si>
  <si>
    <t>智能家居+插座等</t>
  </si>
  <si>
    <t>密码锁</t>
  </si>
  <si>
    <t>其他小项（茶吧机、电饭煲）</t>
  </si>
  <si>
    <t>家具</t>
  </si>
  <si>
    <t>入户门更换</t>
  </si>
  <si>
    <t>/</t>
  </si>
  <si>
    <t>洗菜盆</t>
  </si>
  <si>
    <t>主卧床</t>
  </si>
  <si>
    <t>次卧床</t>
  </si>
  <si>
    <t>主卧+次卧床垫</t>
  </si>
  <si>
    <t>儿童房床垫</t>
  </si>
  <si>
    <t>沙发</t>
  </si>
  <si>
    <t>餐桌</t>
  </si>
  <si>
    <t>椅子</t>
  </si>
  <si>
    <t>茶几</t>
  </si>
  <si>
    <t>儿童房书桌</t>
  </si>
  <si>
    <t>梳妆台</t>
  </si>
  <si>
    <t>灯具</t>
  </si>
  <si>
    <t>客厅灯带</t>
  </si>
  <si>
    <t>客厅主灯</t>
  </si>
  <si>
    <t>阳台灯</t>
  </si>
  <si>
    <t>书房灯</t>
  </si>
  <si>
    <t>卧室灯*3</t>
  </si>
  <si>
    <t>餐厅灯</t>
  </si>
  <si>
    <t>儿童房灯</t>
  </si>
  <si>
    <t>窗帘窗户</t>
  </si>
  <si>
    <t>全屋窗帘</t>
  </si>
  <si>
    <t>纱窗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</si>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</sst>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7" fontId="0" fillId="0" borderId="1" xfId="0" applyNumberForma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7" fontId="0" fillId="3" borderId="1" xfId="0" applyNumberFormat="1" applyFill="1" applyBorder="1" applyAlignment="1">
      <alignment vertical="center" wrapText="1"/>
    </xf>
    <xf numFmtId="7" fontId="0" fillId="0" borderId="0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I12" sqref="I12"/>
    </sheetView>
  </sheetViews>
  <sheetFormatPr defaultColWidth="9" defaultRowHeight="14.4"/>
  <cols>
    <col min="1" max="1" width="6.66666666666667" style="23" customWidth="1"/>
    <col min="2" max="2" width="17.7777777777778" style="23" customWidth="1"/>
    <col min="3" max="3" width="30.5555555555556" style="23" customWidth="1"/>
    <col min="4" max="4" width="15.4444444444444" style="23" customWidth="1"/>
    <col min="5" max="6" width="14.8888888888889" style="23" customWidth="1"/>
    <col min="7" max="7" width="9.33333333333333" style="23" customWidth="1"/>
    <col min="8" max="8" width="29" style="23" customWidth="1"/>
    <col min="9" max="9" width="14.3333333333333" style="23" customWidth="1"/>
    <col min="10" max="10" width="14.5555555555556" style="23" customWidth="1"/>
    <col min="11" max="11" width="18.4444444444444" customWidth="1"/>
    <col min="12" max="12" width="19.3333333333333" customWidth="1"/>
    <col min="13" max="13" width="18" customWidth="1"/>
  </cols>
  <sheetData>
    <row r="1" ht="17.4" spans="1:10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ht="28.8" spans="1:10">
      <c r="A2" s="25">
        <v>1</v>
      </c>
      <c r="B2" s="25" t="s">
        <v>10</v>
      </c>
      <c r="C2" s="25" t="s">
        <v>11</v>
      </c>
      <c r="D2" s="25" t="s">
        <v>12</v>
      </c>
      <c r="E2" s="7">
        <v>10000</v>
      </c>
      <c r="F2" s="26">
        <v>45655</v>
      </c>
      <c r="G2" s="27" t="s">
        <v>13</v>
      </c>
      <c r="H2" s="25" t="s">
        <v>14</v>
      </c>
      <c r="I2" s="7">
        <v>100000</v>
      </c>
      <c r="J2" s="7">
        <v>90000</v>
      </c>
    </row>
    <row r="3" spans="1:10">
      <c r="A3" s="25">
        <v>2</v>
      </c>
      <c r="B3" s="25" t="s">
        <v>15</v>
      </c>
      <c r="C3" s="25" t="s">
        <v>16</v>
      </c>
      <c r="D3" s="25" t="s">
        <v>17</v>
      </c>
      <c r="E3" s="7">
        <v>10000</v>
      </c>
      <c r="F3" s="26">
        <v>45718</v>
      </c>
      <c r="G3" s="27" t="s">
        <v>13</v>
      </c>
      <c r="H3" s="25" t="s">
        <v>18</v>
      </c>
      <c r="I3" s="7">
        <v>20000</v>
      </c>
      <c r="J3" s="7">
        <v>10000</v>
      </c>
    </row>
    <row r="4" ht="28.8" spans="1:10">
      <c r="A4" s="25">
        <v>3</v>
      </c>
      <c r="B4" s="25" t="s">
        <v>19</v>
      </c>
      <c r="C4" s="25" t="s">
        <v>20</v>
      </c>
      <c r="D4" s="25" t="s">
        <v>21</v>
      </c>
      <c r="E4" s="7">
        <v>6000</v>
      </c>
      <c r="F4" s="26">
        <v>45724</v>
      </c>
      <c r="G4" s="27" t="s">
        <v>13</v>
      </c>
      <c r="H4" s="25"/>
      <c r="I4" s="7"/>
      <c r="J4" s="7"/>
    </row>
    <row r="5" ht="28.8" spans="1:10">
      <c r="A5" s="25">
        <v>4</v>
      </c>
      <c r="B5" s="25" t="s">
        <v>22</v>
      </c>
      <c r="C5" s="25" t="s">
        <v>23</v>
      </c>
      <c r="D5" s="25" t="s">
        <v>24</v>
      </c>
      <c r="E5" s="7">
        <v>10000</v>
      </c>
      <c r="F5" s="26">
        <v>45724</v>
      </c>
      <c r="G5" s="27" t="s">
        <v>13</v>
      </c>
      <c r="H5" s="25" t="s">
        <v>25</v>
      </c>
      <c r="I5" s="7">
        <v>20000</v>
      </c>
      <c r="J5" s="7">
        <v>10000</v>
      </c>
    </row>
    <row r="6" spans="1:10">
      <c r="A6" s="25">
        <v>5</v>
      </c>
      <c r="B6" s="25" t="s">
        <v>26</v>
      </c>
      <c r="C6" s="25" t="s">
        <v>27</v>
      </c>
      <c r="D6" s="25" t="s">
        <v>28</v>
      </c>
      <c r="E6" s="7">
        <v>2000</v>
      </c>
      <c r="F6" s="26">
        <v>45713</v>
      </c>
      <c r="G6" s="27" t="s">
        <v>29</v>
      </c>
      <c r="H6" s="25"/>
      <c r="I6" s="7"/>
      <c r="J6" s="7"/>
    </row>
    <row r="7" spans="1:10">
      <c r="A7" s="25">
        <v>6</v>
      </c>
      <c r="B7" s="25" t="s">
        <v>30</v>
      </c>
      <c r="C7" s="25" t="s">
        <v>31</v>
      </c>
      <c r="D7" s="25" t="s">
        <v>32</v>
      </c>
      <c r="E7" s="7">
        <v>3000</v>
      </c>
      <c r="F7" s="26">
        <v>45734</v>
      </c>
      <c r="G7" s="7" t="s">
        <v>13</v>
      </c>
      <c r="H7" s="25" t="s">
        <v>33</v>
      </c>
      <c r="I7" s="7"/>
      <c r="J7" s="7"/>
    </row>
    <row r="8" spans="1:10">
      <c r="A8" s="25">
        <v>7</v>
      </c>
      <c r="B8" s="25" t="s">
        <v>34</v>
      </c>
      <c r="C8" s="25" t="s">
        <v>35</v>
      </c>
      <c r="D8" s="25" t="s">
        <v>36</v>
      </c>
      <c r="E8" s="7">
        <v>1800</v>
      </c>
      <c r="F8" s="26">
        <v>45736</v>
      </c>
      <c r="G8" s="7" t="s">
        <v>29</v>
      </c>
      <c r="H8" s="25"/>
      <c r="I8" s="7"/>
      <c r="J8" s="7"/>
    </row>
    <row r="9" spans="1:10">
      <c r="A9" s="25">
        <v>8</v>
      </c>
      <c r="B9" s="25" t="s">
        <v>37</v>
      </c>
      <c r="C9" s="25" t="s">
        <v>38</v>
      </c>
      <c r="D9" s="25" t="s">
        <v>39</v>
      </c>
      <c r="E9" s="7">
        <v>500</v>
      </c>
      <c r="F9" s="26">
        <v>45773</v>
      </c>
      <c r="G9" s="7" t="s">
        <v>29</v>
      </c>
      <c r="H9" s="25" t="s">
        <v>40</v>
      </c>
      <c r="I9" s="7">
        <v>8000</v>
      </c>
      <c r="J9" s="7">
        <v>7500</v>
      </c>
    </row>
    <row r="10" spans="1:10">
      <c r="A10" s="25">
        <v>9</v>
      </c>
      <c r="B10" s="25" t="s">
        <v>41</v>
      </c>
      <c r="C10" s="25" t="s">
        <v>42</v>
      </c>
      <c r="D10" s="25" t="s">
        <v>43</v>
      </c>
      <c r="E10" s="7">
        <v>2500</v>
      </c>
      <c r="F10" s="26">
        <v>45804</v>
      </c>
      <c r="G10" s="7" t="s">
        <v>29</v>
      </c>
      <c r="H10" s="25"/>
      <c r="I10" s="7"/>
      <c r="J10" s="7"/>
    </row>
    <row r="11" spans="1:10">
      <c r="A11" s="25">
        <v>10</v>
      </c>
      <c r="B11" s="25" t="s">
        <v>44</v>
      </c>
      <c r="C11" s="25" t="s">
        <v>45</v>
      </c>
      <c r="D11" s="25" t="s">
        <v>46</v>
      </c>
      <c r="E11" s="7">
        <v>500</v>
      </c>
      <c r="F11" s="26">
        <v>45815</v>
      </c>
      <c r="G11" s="7" t="s">
        <v>29</v>
      </c>
      <c r="H11" s="25" t="s">
        <v>47</v>
      </c>
      <c r="I11" s="7">
        <v>3000</v>
      </c>
      <c r="J11" s="7">
        <v>2500</v>
      </c>
    </row>
    <row r="12" spans="1:10">
      <c r="A12" s="25"/>
      <c r="B12" s="25"/>
      <c r="C12" s="25"/>
      <c r="D12" s="25"/>
      <c r="E12" s="7"/>
      <c r="F12" s="26"/>
      <c r="G12" s="25"/>
      <c r="H12" s="25"/>
      <c r="I12" s="7"/>
      <c r="J12" s="7"/>
    </row>
    <row r="13" spans="1:10">
      <c r="A13" s="25"/>
      <c r="B13" s="25"/>
      <c r="C13" s="25"/>
      <c r="D13" s="25"/>
      <c r="E13" s="7"/>
      <c r="F13" s="26"/>
      <c r="G13" s="25"/>
      <c r="H13" s="25"/>
      <c r="I13" s="7"/>
      <c r="J13" s="7"/>
    </row>
    <row r="14" spans="1:10">
      <c r="A14" s="25"/>
      <c r="B14" s="25"/>
      <c r="C14" s="25"/>
      <c r="D14" s="25"/>
      <c r="E14" s="7"/>
      <c r="F14" s="26"/>
      <c r="G14" s="25"/>
      <c r="H14" s="25"/>
      <c r="I14" s="7"/>
      <c r="J14" s="7"/>
    </row>
    <row r="15" spans="1:10">
      <c r="A15" s="25"/>
      <c r="B15" s="25"/>
      <c r="C15" s="25"/>
      <c r="D15" s="25"/>
      <c r="E15" s="7"/>
      <c r="F15" s="26"/>
      <c r="G15" s="25"/>
      <c r="H15" s="25"/>
      <c r="I15" s="7"/>
      <c r="J15" s="7"/>
    </row>
    <row r="16" spans="1:10">
      <c r="A16" s="25"/>
      <c r="B16" s="25"/>
      <c r="C16" s="25"/>
      <c r="D16" s="25" t="s">
        <v>48</v>
      </c>
      <c r="E16" s="7">
        <f>SUM(E2:E15)</f>
        <v>46300</v>
      </c>
      <c r="F16" s="7"/>
      <c r="G16" s="7"/>
      <c r="H16" s="25"/>
      <c r="I16" s="7" t="s">
        <v>49</v>
      </c>
      <c r="J16" s="7">
        <f>SUM(J2:J11)</f>
        <v>120000</v>
      </c>
    </row>
  </sheetData>
  <autoFilter xmlns:etc="http://www.wps.cn/officeDocument/2017/etCustomData" ref="A1:J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topLeftCell="A22" workbookViewId="0">
      <selection activeCell="F10" sqref="F10"/>
    </sheetView>
  </sheetViews>
  <sheetFormatPr defaultColWidth="9" defaultRowHeight="14.4" outlineLevelCol="4"/>
  <cols>
    <col min="1" max="1" width="10.6666666666667" customWidth="1"/>
    <col min="2" max="2" width="14.6666666666667" style="1" customWidth="1"/>
    <col min="3" max="3" width="30.6666666666667" customWidth="1"/>
    <col min="4" max="4" width="14.6666666666667" style="1" customWidth="1"/>
    <col min="5" max="5" width="20.7777777777778" customWidth="1"/>
  </cols>
  <sheetData>
    <row r="1" spans="1:5">
      <c r="A1" s="2" t="s">
        <v>50</v>
      </c>
      <c r="B1" s="3" t="s">
        <v>51</v>
      </c>
      <c r="C1" s="2" t="s">
        <v>52</v>
      </c>
      <c r="D1" s="3" t="s">
        <v>53</v>
      </c>
      <c r="E1" s="2" t="s">
        <v>54</v>
      </c>
    </row>
    <row r="2" spans="1:5">
      <c r="A2" s="4"/>
      <c r="B2" s="5"/>
      <c r="C2" s="4"/>
      <c r="D2" s="5"/>
      <c r="E2" s="4"/>
    </row>
    <row r="3" spans="1:5">
      <c r="A3" s="4"/>
      <c r="B3" s="5"/>
      <c r="C3" s="4"/>
      <c r="D3" s="5"/>
      <c r="E3" s="6"/>
    </row>
    <row r="4" spans="1:5">
      <c r="A4" s="4" t="s">
        <v>55</v>
      </c>
      <c r="B4" s="5">
        <v>3000</v>
      </c>
      <c r="C4" s="4"/>
      <c r="D4" s="5">
        <v>3000</v>
      </c>
      <c r="E4" s="7">
        <v>2540</v>
      </c>
    </row>
    <row r="5" spans="1:5">
      <c r="A5" s="4" t="s">
        <v>21</v>
      </c>
      <c r="B5" s="5">
        <v>7000</v>
      </c>
      <c r="C5" s="4"/>
      <c r="D5" s="5">
        <v>7000</v>
      </c>
      <c r="E5" s="7">
        <v>6698</v>
      </c>
    </row>
    <row r="6" spans="1:5">
      <c r="A6" s="4" t="s">
        <v>56</v>
      </c>
      <c r="B6" s="5">
        <v>120000</v>
      </c>
      <c r="C6" s="4" t="s">
        <v>57</v>
      </c>
      <c r="D6" s="5">
        <v>120000</v>
      </c>
      <c r="E6" s="7">
        <v>100000</v>
      </c>
    </row>
    <row r="7" spans="1:5">
      <c r="A7" s="4" t="s">
        <v>58</v>
      </c>
      <c r="B7" s="5">
        <v>15000</v>
      </c>
      <c r="C7" s="4"/>
      <c r="D7" s="5">
        <v>15000</v>
      </c>
      <c r="E7" s="7">
        <v>12034.84</v>
      </c>
    </row>
    <row r="8" spans="1:5">
      <c r="A8" s="4" t="s">
        <v>59</v>
      </c>
      <c r="B8" s="5">
        <v>20000</v>
      </c>
      <c r="C8" s="4"/>
      <c r="D8" s="5">
        <v>20000</v>
      </c>
      <c r="E8" s="7">
        <v>18000</v>
      </c>
    </row>
    <row r="9" spans="1:5">
      <c r="A9" s="4" t="s">
        <v>60</v>
      </c>
      <c r="B9" s="5">
        <v>20000</v>
      </c>
      <c r="C9" s="4"/>
      <c r="D9" s="5">
        <v>20000</v>
      </c>
      <c r="E9" s="7">
        <v>19000</v>
      </c>
    </row>
    <row r="10" spans="1:5">
      <c r="A10" s="4" t="s">
        <v>61</v>
      </c>
      <c r="B10" s="5">
        <v>3000</v>
      </c>
      <c r="C10" s="4"/>
      <c r="D10" s="5">
        <v>3000</v>
      </c>
      <c r="E10" s="7">
        <v>2800</v>
      </c>
    </row>
    <row r="11" spans="1:5">
      <c r="A11" s="4" t="s">
        <v>62</v>
      </c>
      <c r="B11" s="5">
        <v>60000</v>
      </c>
      <c r="C11" s="4"/>
      <c r="D11" s="5">
        <v>60000</v>
      </c>
      <c r="E11" s="7"/>
    </row>
    <row r="12" spans="1:5">
      <c r="A12" s="8" t="s">
        <v>63</v>
      </c>
      <c r="B12" s="9">
        <v>6000</v>
      </c>
      <c r="C12" s="4"/>
      <c r="D12" s="9">
        <v>6000</v>
      </c>
      <c r="E12" s="7"/>
    </row>
    <row r="13" spans="1:5">
      <c r="A13" s="10" t="s">
        <v>64</v>
      </c>
      <c r="B13" s="9">
        <v>20000</v>
      </c>
      <c r="C13" s="4" t="s">
        <v>65</v>
      </c>
      <c r="D13" s="5">
        <v>4380</v>
      </c>
      <c r="E13" s="7"/>
    </row>
    <row r="14" spans="1:5">
      <c r="A14" s="11"/>
      <c r="B14" s="12"/>
      <c r="C14" s="4" t="s">
        <v>66</v>
      </c>
      <c r="D14" s="5">
        <v>7200</v>
      </c>
      <c r="E14" s="7"/>
    </row>
    <row r="15" spans="1:5">
      <c r="A15" s="11"/>
      <c r="B15" s="12"/>
      <c r="C15" s="4" t="s">
        <v>67</v>
      </c>
      <c r="D15" s="5">
        <v>2700</v>
      </c>
      <c r="E15" s="7"/>
    </row>
    <row r="16" spans="1:5">
      <c r="A16" s="11"/>
      <c r="B16" s="12"/>
      <c r="C16" s="4" t="s">
        <v>68</v>
      </c>
      <c r="D16" s="5">
        <v>2150</v>
      </c>
      <c r="E16" s="7"/>
    </row>
    <row r="17" spans="1:5">
      <c r="A17" s="13"/>
      <c r="B17" s="14"/>
      <c r="C17" s="4" t="s">
        <v>69</v>
      </c>
      <c r="D17" s="5">
        <v>2150</v>
      </c>
      <c r="E17" s="7"/>
    </row>
    <row r="18" spans="1:5">
      <c r="A18" s="10" t="s">
        <v>70</v>
      </c>
      <c r="B18" s="5">
        <v>45000</v>
      </c>
      <c r="C18" s="4" t="s">
        <v>71</v>
      </c>
      <c r="D18" s="5">
        <v>6000</v>
      </c>
      <c r="E18" s="7"/>
    </row>
    <row r="19" spans="1:5">
      <c r="A19" s="11"/>
      <c r="B19" s="5"/>
      <c r="C19" s="4" t="s">
        <v>42</v>
      </c>
      <c r="D19" s="5">
        <v>2500</v>
      </c>
      <c r="E19" s="7"/>
    </row>
    <row r="20" spans="1:5">
      <c r="A20" s="11"/>
      <c r="B20" s="5"/>
      <c r="C20" s="4" t="s">
        <v>72</v>
      </c>
      <c r="D20" s="5">
        <v>7000</v>
      </c>
      <c r="E20" s="7"/>
    </row>
    <row r="21" spans="1:5">
      <c r="A21" s="11"/>
      <c r="B21" s="5"/>
      <c r="C21" s="4" t="s">
        <v>73</v>
      </c>
      <c r="D21" s="5">
        <v>2000</v>
      </c>
      <c r="E21" s="7"/>
    </row>
    <row r="22" spans="1:5">
      <c r="A22" s="11"/>
      <c r="B22" s="5"/>
      <c r="C22" s="4" t="s">
        <v>74</v>
      </c>
      <c r="D22" s="5">
        <v>2000</v>
      </c>
      <c r="E22" s="7"/>
    </row>
    <row r="23" spans="1:5">
      <c r="A23" s="11"/>
      <c r="B23" s="5"/>
      <c r="C23" s="4" t="s">
        <v>75</v>
      </c>
      <c r="D23" s="5">
        <v>6000</v>
      </c>
      <c r="E23" s="7"/>
    </row>
    <row r="24" spans="1:5">
      <c r="A24" s="11"/>
      <c r="B24" s="5"/>
      <c r="C24" s="4" t="s">
        <v>76</v>
      </c>
      <c r="D24" s="5">
        <v>7500</v>
      </c>
      <c r="E24" s="7"/>
    </row>
    <row r="25" spans="1:5">
      <c r="A25" s="11"/>
      <c r="B25" s="5"/>
      <c r="C25" s="4" t="s">
        <v>77</v>
      </c>
      <c r="D25" s="5">
        <v>3000</v>
      </c>
      <c r="E25" s="7"/>
    </row>
    <row r="26" spans="1:5">
      <c r="A26" s="11"/>
      <c r="B26" s="5"/>
      <c r="C26" s="4" t="s">
        <v>78</v>
      </c>
      <c r="D26" s="5">
        <v>1500</v>
      </c>
      <c r="E26" s="7"/>
    </row>
    <row r="27" spans="1:5">
      <c r="A27" s="11"/>
      <c r="B27" s="5"/>
      <c r="C27" s="4" t="s">
        <v>79</v>
      </c>
      <c r="D27" s="5">
        <v>900</v>
      </c>
      <c r="E27" s="7"/>
    </row>
    <row r="28" spans="1:5">
      <c r="A28" s="11"/>
      <c r="B28" s="5"/>
      <c r="C28" s="4" t="s">
        <v>80</v>
      </c>
      <c r="D28" s="5">
        <v>500</v>
      </c>
      <c r="E28" s="7"/>
    </row>
    <row r="29" spans="1:5">
      <c r="A29" s="11"/>
      <c r="B29" s="5"/>
      <c r="C29" s="4" t="s">
        <v>81</v>
      </c>
      <c r="D29" s="5">
        <v>3000</v>
      </c>
      <c r="E29" s="7"/>
    </row>
    <row r="30" spans="1:5">
      <c r="A30" s="11"/>
      <c r="B30" s="5"/>
      <c r="C30" s="4" t="s">
        <v>82</v>
      </c>
      <c r="D30" s="5">
        <v>1500</v>
      </c>
      <c r="E30" s="7"/>
    </row>
    <row r="31" spans="1:5">
      <c r="A31" s="13"/>
      <c r="B31" s="5"/>
      <c r="C31" s="4" t="s">
        <v>83</v>
      </c>
      <c r="D31" s="5">
        <v>1000</v>
      </c>
      <c r="E31" s="7"/>
    </row>
    <row r="32" spans="1:5">
      <c r="A32" s="10" t="s">
        <v>84</v>
      </c>
      <c r="B32" s="9">
        <v>30000</v>
      </c>
      <c r="C32" s="4" t="s">
        <v>85</v>
      </c>
      <c r="D32" s="5" t="s">
        <v>86</v>
      </c>
      <c r="E32" s="7"/>
    </row>
    <row r="33" spans="1:5">
      <c r="A33" s="11"/>
      <c r="B33" s="12"/>
      <c r="C33" s="4" t="s">
        <v>87</v>
      </c>
      <c r="D33" s="5">
        <v>1000</v>
      </c>
      <c r="E33" s="7"/>
    </row>
    <row r="34" spans="1:5">
      <c r="A34" s="11"/>
      <c r="B34" s="12"/>
      <c r="C34" s="4" t="s">
        <v>88</v>
      </c>
      <c r="D34" s="5">
        <v>3000</v>
      </c>
      <c r="E34" s="7"/>
    </row>
    <row r="35" spans="1:5">
      <c r="A35" s="11"/>
      <c r="B35" s="12"/>
      <c r="C35" s="4" t="s">
        <v>89</v>
      </c>
      <c r="D35" s="5">
        <v>2000</v>
      </c>
      <c r="E35" s="7"/>
    </row>
    <row r="36" spans="1:5">
      <c r="A36" s="11"/>
      <c r="B36" s="12"/>
      <c r="C36" s="4" t="s">
        <v>90</v>
      </c>
      <c r="D36" s="5">
        <v>6500</v>
      </c>
      <c r="E36" s="7"/>
    </row>
    <row r="37" spans="1:5">
      <c r="A37" s="11"/>
      <c r="B37" s="12"/>
      <c r="C37" s="4" t="s">
        <v>91</v>
      </c>
      <c r="D37" s="5">
        <v>1500</v>
      </c>
      <c r="E37" s="7"/>
    </row>
    <row r="38" spans="1:5">
      <c r="A38" s="11"/>
      <c r="B38" s="12"/>
      <c r="C38" s="4" t="s">
        <v>92</v>
      </c>
      <c r="D38" s="5">
        <v>6000</v>
      </c>
      <c r="E38" s="7"/>
    </row>
    <row r="39" spans="1:5">
      <c r="A39" s="11"/>
      <c r="B39" s="12"/>
      <c r="C39" s="4" t="s">
        <v>93</v>
      </c>
      <c r="D39" s="5">
        <v>2000</v>
      </c>
      <c r="E39" s="7"/>
    </row>
    <row r="40" spans="1:5">
      <c r="A40" s="11"/>
      <c r="B40" s="12"/>
      <c r="C40" s="4" t="s">
        <v>94</v>
      </c>
      <c r="D40" s="5">
        <v>1000</v>
      </c>
      <c r="E40" s="7"/>
    </row>
    <row r="41" spans="1:5">
      <c r="A41" s="11"/>
      <c r="B41" s="12"/>
      <c r="C41" s="4" t="s">
        <v>95</v>
      </c>
      <c r="D41" s="5">
        <v>1000</v>
      </c>
      <c r="E41" s="7"/>
    </row>
    <row r="42" spans="1:5">
      <c r="A42" s="11"/>
      <c r="B42" s="12"/>
      <c r="C42" s="4" t="s">
        <v>96</v>
      </c>
      <c r="D42" s="5" t="s">
        <v>86</v>
      </c>
      <c r="E42" s="7"/>
    </row>
    <row r="43" spans="1:5">
      <c r="A43" s="11"/>
      <c r="B43" s="12"/>
      <c r="C43" s="4" t="s">
        <v>97</v>
      </c>
      <c r="D43" s="5">
        <v>1000</v>
      </c>
      <c r="E43" s="7"/>
    </row>
    <row r="44" spans="1:5">
      <c r="A44" s="11"/>
      <c r="B44" s="12"/>
      <c r="C44" s="4"/>
      <c r="D44" s="5"/>
      <c r="E44" s="4"/>
    </row>
    <row r="45" spans="1:5">
      <c r="A45" s="13"/>
      <c r="B45" s="14"/>
      <c r="C45" s="4"/>
      <c r="D45" s="5"/>
      <c r="E45" s="7"/>
    </row>
    <row r="46" spans="1:5">
      <c r="A46" s="10" t="s">
        <v>98</v>
      </c>
      <c r="B46" s="15">
        <v>3000</v>
      </c>
      <c r="C46" s="4" t="s">
        <v>99</v>
      </c>
      <c r="D46" s="1">
        <v>650</v>
      </c>
      <c r="E46" s="7"/>
    </row>
    <row r="47" spans="1:5">
      <c r="A47" s="11"/>
      <c r="B47" s="16"/>
      <c r="C47" s="4" t="s">
        <v>100</v>
      </c>
      <c r="D47" s="5">
        <v>800</v>
      </c>
      <c r="E47" s="4"/>
    </row>
    <row r="48" spans="1:5">
      <c r="A48" s="11"/>
      <c r="B48" s="16"/>
      <c r="C48" s="4" t="s">
        <v>101</v>
      </c>
      <c r="D48" s="5">
        <v>100</v>
      </c>
      <c r="E48" s="4"/>
    </row>
    <row r="49" spans="1:5">
      <c r="A49" s="11"/>
      <c r="B49" s="16"/>
      <c r="C49" s="4" t="s">
        <v>102</v>
      </c>
      <c r="D49" s="5">
        <v>200</v>
      </c>
      <c r="E49" s="4"/>
    </row>
    <row r="50" spans="1:5">
      <c r="A50" s="11"/>
      <c r="B50" s="16"/>
      <c r="C50" s="4" t="s">
        <v>103</v>
      </c>
      <c r="D50" s="5">
        <v>700</v>
      </c>
      <c r="E50" s="4"/>
    </row>
    <row r="51" spans="1:5">
      <c r="A51" s="11"/>
      <c r="B51" s="16"/>
      <c r="C51" s="4" t="s">
        <v>104</v>
      </c>
      <c r="D51" s="5">
        <v>500</v>
      </c>
      <c r="E51" s="4"/>
    </row>
    <row r="52" spans="1:5">
      <c r="A52" s="13"/>
      <c r="B52" s="17"/>
      <c r="C52" s="4" t="s">
        <v>105</v>
      </c>
      <c r="D52" s="5">
        <v>200</v>
      </c>
      <c r="E52" s="4"/>
    </row>
    <row r="53" spans="1:5">
      <c r="A53" s="10" t="s">
        <v>106</v>
      </c>
      <c r="B53" s="15">
        <v>3000</v>
      </c>
      <c r="C53" s="4" t="s">
        <v>107</v>
      </c>
      <c r="D53" s="5">
        <v>3000</v>
      </c>
      <c r="E53" s="7"/>
    </row>
    <row r="54" spans="1:5">
      <c r="A54" s="13"/>
      <c r="B54" s="17"/>
      <c r="C54" s="4" t="s">
        <v>108</v>
      </c>
      <c r="D54" s="14">
        <v>1500</v>
      </c>
      <c r="E54" s="7"/>
    </row>
    <row r="55" spans="1:5">
      <c r="A55" s="4"/>
      <c r="B55" s="5"/>
      <c r="C55" s="4"/>
      <c r="D55" s="5"/>
      <c r="E55" s="7"/>
    </row>
    <row r="56" spans="1:5">
      <c r="A56" s="4"/>
      <c r="B56" s="5"/>
      <c r="C56" s="4"/>
      <c r="D56" s="5"/>
      <c r="E56" s="7"/>
    </row>
    <row r="57" spans="1:5">
      <c r="A57" s="4"/>
      <c r="B57" s="5"/>
      <c r="C57" s="4"/>
      <c r="D57" s="5"/>
      <c r="E57" s="7"/>
    </row>
    <row r="58" spans="1:5">
      <c r="A58" s="4"/>
      <c r="B58" s="5"/>
      <c r="C58" s="4"/>
      <c r="D58" s="5"/>
      <c r="E58" s="7"/>
    </row>
    <row r="59" spans="1:5">
      <c r="A59" s="18" t="s">
        <v>109</v>
      </c>
      <c r="B59" s="19">
        <f>SUM(B3:B53)</f>
        <v>355000</v>
      </c>
      <c r="C59" s="20"/>
      <c r="D59" s="19">
        <f>SUM(D4:D58)</f>
        <v>349630</v>
      </c>
      <c r="E59" s="21">
        <f>SUM(E3:E58)</f>
        <v>161072.84</v>
      </c>
    </row>
    <row r="60" spans="5:5">
      <c r="E60" s="22"/>
    </row>
    <row r="61" spans="5:5">
      <c r="E61" s="22"/>
    </row>
    <row r="62" spans="5:5">
      <c r="E62" s="22"/>
    </row>
    <row r="63" spans="5:5">
      <c r="E63" s="22"/>
    </row>
    <row r="64" spans="5:5">
      <c r="E64" s="22"/>
    </row>
    <row r="65" spans="5:5">
      <c r="E65" s="22"/>
    </row>
    <row r="66" spans="5:5">
      <c r="E66" s="22"/>
    </row>
    <row r="67" spans="5:5">
      <c r="E67" s="22"/>
    </row>
    <row r="68" spans="5:5">
      <c r="E68" s="22"/>
    </row>
    <row r="69" spans="5:5">
      <c r="E69" s="22"/>
    </row>
    <row r="70" spans="5:5">
      <c r="E70" s="22"/>
    </row>
    <row r="71" spans="5:5">
      <c r="E71" s="22"/>
    </row>
    <row r="72" spans="5:5">
      <c r="E72" s="22"/>
    </row>
    <row r="73" spans="5:5">
      <c r="E73" s="22"/>
    </row>
    <row r="74" spans="5:5">
      <c r="E74" s="22"/>
    </row>
    <row r="75" spans="5:5">
      <c r="E75" s="22"/>
    </row>
    <row r="76" spans="5:5">
      <c r="E76" s="22"/>
    </row>
    <row r="77" spans="5:5">
      <c r="E77" s="22"/>
    </row>
    <row r="78" spans="5:5">
      <c r="E78" s="22"/>
    </row>
    <row r="79" spans="5:5">
      <c r="E79" s="22"/>
    </row>
    <row r="80" spans="5:5">
      <c r="E80" s="22"/>
    </row>
    <row r="81" spans="5:5">
      <c r="E81" s="22"/>
    </row>
    <row r="82" spans="5:5">
      <c r="E82" s="22"/>
    </row>
    <row r="83" spans="5:5">
      <c r="E83" s="22"/>
    </row>
    <row r="84" spans="5:5">
      <c r="E84" s="22"/>
    </row>
    <row r="85" spans="5:5">
      <c r="E85" s="22"/>
    </row>
    <row r="86" spans="5:5">
      <c r="E86" s="22"/>
    </row>
    <row r="87" spans="5:5">
      <c r="E87" s="22"/>
    </row>
    <row r="88" spans="5:5">
      <c r="E88" s="22"/>
    </row>
    <row r="89" spans="5:5">
      <c r="E89" s="22"/>
    </row>
    <row r="90" spans="5:5">
      <c r="E90" s="22"/>
    </row>
    <row r="91" spans="5:5">
      <c r="E91" s="22"/>
    </row>
    <row r="92" spans="5:5">
      <c r="E92" s="22"/>
    </row>
  </sheetData>
  <mergeCells count="10">
    <mergeCell ref="A13:A17"/>
    <mergeCell ref="A18:A31"/>
    <mergeCell ref="A32:A45"/>
    <mergeCell ref="A46:A52"/>
    <mergeCell ref="A53:A54"/>
    <mergeCell ref="B13:B17"/>
    <mergeCell ref="B18:B31"/>
    <mergeCell ref="B32:B45"/>
    <mergeCell ref="B46:B52"/>
    <mergeCell ref="B53:B5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明细表</vt:lpstr>
      <vt:lpstr>类目预算表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7216717F5E374A09A214A90A6BD0C7AF_12</vt:lpwstr>
  </property>
</Properties>
</file>