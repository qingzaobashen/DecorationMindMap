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全屋收纳设计" sheetId="3" r:id="rId1"/>
    <sheet name="调研表" sheetId="4" r:id="rId2"/>
    <sheet name="费用类型表" sheetId="5" r:id="rId3"/>
    <sheet name="报价表（示例）" sheetId="1" r:id="rId4"/>
    <sheet name="面积计算" sheetId="2" r:id="rId5"/>
    <sheet name="工地调研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<sst xmlns="http://schemas.openxmlformats.org/spreadsheetml/2006/main" count="575" uniqueCount="445">
  <si>
    <t>房间</t>
  </si>
  <si>
    <t>区域</t>
  </si>
  <si>
    <t>类型</t>
  </si>
  <si>
    <t>明细</t>
  </si>
  <si>
    <t>设计要求（参考）</t>
  </si>
  <si>
    <t>玄关</t>
  </si>
  <si>
    <t>陈列区</t>
  </si>
  <si>
    <t>出门必备</t>
  </si>
  <si>
    <t>钥匙、门口、护手霜</t>
  </si>
  <si>
    <t>设计开放式台面，高度1.2米左右，便于随手拿取，墙面可安装小挂钩挂钥匙</t>
  </si>
  <si>
    <t>清洁用品</t>
  </si>
  <si>
    <t>纸巾、湿巾、驱蚊液</t>
  </si>
  <si>
    <t>悬挂区</t>
  </si>
  <si>
    <t>服饰</t>
  </si>
  <si>
    <t>外套、帽子、围巾、包袋、雨伞</t>
  </si>
  <si>
    <t>设计挂衣区高度1.8米，下方设计2个抽屉（臭鞋袜），也作为换鞋凳</t>
  </si>
  <si>
    <t>抽屉区</t>
  </si>
  <si>
    <t>日用品</t>
  </si>
  <si>
    <t>购物袋、手电筒</t>
  </si>
  <si>
    <t>设计1层水平抽屉，分类收纳日用品，抽屉内部可加隔板（后期自己买）</t>
  </si>
  <si>
    <t>天气防护</t>
  </si>
  <si>
    <t>防晒用品、口罩</t>
  </si>
  <si>
    <t>鞋柜区</t>
  </si>
  <si>
    <t>上层</t>
  </si>
  <si>
    <t>不常穿，如客拖、换季</t>
  </si>
  <si>
    <t>设计层板高度30-35cm，适合存放鞋盒，可调节高度适应不同鞋型</t>
  </si>
  <si>
    <t>下层开放区</t>
  </si>
  <si>
    <t>常穿，如运动鞋、拖鞋</t>
  </si>
  <si>
    <t>设计2层开放区，高度20-25cm，适合直接摆放常穿鞋，预留插座孔（烘鞋器）</t>
  </si>
  <si>
    <t>护理</t>
  </si>
  <si>
    <t>鞋跟贴、鞋油、鞋刷</t>
  </si>
  <si>
    <t>设计小抽屉或收纳盒，集中存放鞋类护理用品，便于拿取</t>
  </si>
  <si>
    <t>客厅</t>
  </si>
  <si>
    <t>电视柜</t>
  </si>
  <si>
    <t>影音</t>
  </si>
  <si>
    <t>投影仪、音响、机顶盒</t>
  </si>
  <si>
    <t>设计带散热孔的柜体，预留电源插座，内部设隔板放置影音设备</t>
  </si>
  <si>
    <t>沙发区</t>
  </si>
  <si>
    <t>沙发</t>
  </si>
  <si>
    <t>沙发、抱枕、毯子、绿植角</t>
  </si>
  <si>
    <t>设计沙发靠背或底部预留储物空间，抱枕和毯子可折叠存放</t>
  </si>
  <si>
    <t>边几</t>
  </si>
  <si>
    <t>边几、绿植</t>
  </si>
  <si>
    <t>设计带抽屉的边几，便于存放小物件，顶部留空放置绿植</t>
  </si>
  <si>
    <t>茶几</t>
  </si>
  <si>
    <t>台面</t>
  </si>
  <si>
    <t>纸巾、水杯、茶具、花瓶、遥控器、零食、杂志</t>
  </si>
  <si>
    <t>设计带防滑垫的台面，边缘做挡水，抽屉内部分隔收纳小物件</t>
  </si>
  <si>
    <t>抽屉</t>
  </si>
  <si>
    <t>扑克牌、指甲剪、快递刀</t>
  </si>
  <si>
    <t>设计带分隔的抽屉，分类存放小物品，便于查找</t>
  </si>
  <si>
    <t>墙面</t>
  </si>
  <si>
    <t>装饰</t>
  </si>
  <si>
    <t>壁画、挂件、照片</t>
  </si>
  <si>
    <t>设计可调节高度的装饰架，适合不同尺寸的装饰品</t>
  </si>
  <si>
    <t>餐厅</t>
  </si>
  <si>
    <t>餐桌</t>
  </si>
  <si>
    <t>用品</t>
  </si>
  <si>
    <t>花瓶、抽纸、牙签、牙线</t>
  </si>
  <si>
    <t>设计带防滑垫的餐桌，边缘做圆角处理，防止磕碰</t>
  </si>
  <si>
    <t>餐边柜</t>
  </si>
  <si>
    <t>上层柜</t>
  </si>
  <si>
    <t>摆件、酒、茶、药品</t>
  </si>
  <si>
    <t>设计玻璃门柜，便于展示摆件和酒品，层板可调节高度</t>
  </si>
  <si>
    <t>咖啡机、饮水机、茶具</t>
  </si>
  <si>
    <t>设计防滑台面，预留电源插座孔（轨道插座），适合放置小型电器</t>
  </si>
  <si>
    <t>牙签、口香糖、启瓶器</t>
  </si>
  <si>
    <t>设计水平抽屉，分类存放用餐小物件，便于拿取</t>
  </si>
  <si>
    <t>地柜</t>
  </si>
  <si>
    <t>饮用水、纸品、国货</t>
  </si>
  <si>
    <t>设计大容量地柜，适合存放饮用水和纸品，底部不加地板便于清洁</t>
  </si>
  <si>
    <t>厨房</t>
  </si>
  <si>
    <t>吊柜</t>
  </si>
  <si>
    <t>杂粮</t>
  </si>
  <si>
    <t>杂粮、干货、低频使用的调料</t>
  </si>
  <si>
    <t>设计密封式柜体，防止杂粮受潮，层板可调节高度</t>
  </si>
  <si>
    <t>置物架</t>
  </si>
  <si>
    <t>砧板、刀具、锅盖</t>
  </si>
  <si>
    <t>设计带挂钩的置物架，便于悬挂砧板和锅盖，节省空间</t>
  </si>
  <si>
    <t>调料盘</t>
  </si>
  <si>
    <t>高频使用的油盐酱醋</t>
  </si>
  <si>
    <t>设计带防滑垫的调料盘，便于拿取，靠近灶台位置</t>
  </si>
  <si>
    <t>电器区</t>
  </si>
  <si>
    <t>电饭煲、微波炉、烤箱</t>
  </si>
  <si>
    <t>设计带散热孔的电器区，预留电源插座，适合放置小型电器</t>
  </si>
  <si>
    <t>主食</t>
  </si>
  <si>
    <t>米、面</t>
  </si>
  <si>
    <t>设计密封式米箱和面箱，防止受潮和虫蛀</t>
  </si>
  <si>
    <t>餐具</t>
  </si>
  <si>
    <t>餐具、锅具</t>
  </si>
  <si>
    <t>设计带抽屉或转角错层，分类存放餐具，锅具区预留足够高度</t>
  </si>
  <si>
    <t>洗洁精、耗材国货</t>
  </si>
  <si>
    <t>设计带防水隔板的柜体，便于存放清洁用品，靠近水槽位置</t>
  </si>
  <si>
    <t>炊具</t>
  </si>
  <si>
    <t>锅铲、勺子、打蛋器</t>
  </si>
  <si>
    <t>设计带挂钩的抽屉，分类存放炊具，便于拿取</t>
  </si>
  <si>
    <t>清洁工具</t>
  </si>
  <si>
    <t>抹布、刷子、刮皮器</t>
  </si>
  <si>
    <t>设计带挂钩的墙面置物架，便于悬挂清洁工具，靠近水槽位置</t>
  </si>
  <si>
    <t>冰箱</t>
  </si>
  <si>
    <t>冷藏区</t>
  </si>
  <si>
    <t>熟食、生菜、饮品、调料</t>
  </si>
  <si>
    <t>设计可调节温度的冷藏区，分区存放不同食物，保持卫生</t>
  </si>
  <si>
    <t>冷冻区</t>
  </si>
  <si>
    <t>肉类、速冻食品、雪糕</t>
  </si>
  <si>
    <t>设计可调节温度的冷冻区，分区存放不同食物，保持卫生</t>
  </si>
  <si>
    <t>卧室</t>
  </si>
  <si>
    <t>衣柜</t>
  </si>
  <si>
    <t>储物区</t>
  </si>
  <si>
    <t>换季衣物、备用床品</t>
  </si>
  <si>
    <t>设计大容量储物区，适合存放换季衣物和备用床品（上层），层板可调节高度</t>
  </si>
  <si>
    <t>挂衣区</t>
  </si>
  <si>
    <t>长衣、短衣、裤、裙</t>
  </si>
  <si>
    <t>设计尽量多的挂衣区，长衣区高度1.8米，短衣区高度1.2米，裤架高度0.8米</t>
  </si>
  <si>
    <t>内衣、内裤、袜子、配饰</t>
  </si>
  <si>
    <t>设计带分隔的抽屉，分类存放内衣、内裤、袜子和配饰，便于查找</t>
  </si>
  <si>
    <t>层板区</t>
  </si>
  <si>
    <t>包袋、帽子</t>
  </si>
  <si>
    <t>设计层板区，高度30-40cm，适合存放包袋和帽子，可调节高度</t>
  </si>
  <si>
    <t>床头柜</t>
  </si>
  <si>
    <t>床头灯、闹钟、手机充电器、书籍</t>
  </si>
  <si>
    <t>设计带抽屉的床头柜，便于存放睡前用品，顶部留空放置台灯</t>
  </si>
  <si>
    <t>梳妆区</t>
  </si>
  <si>
    <t>化妆品、护肤品、镜子</t>
  </si>
  <si>
    <t>设计带镜子的梳妆柜，抽屉内部分类存放化妆品和护肤品，预留电源插座</t>
  </si>
  <si>
    <t>书房</t>
  </si>
  <si>
    <t>书柜</t>
  </si>
  <si>
    <t>展示区</t>
  </si>
  <si>
    <t>摆件、手办、奖品奖状</t>
  </si>
  <si>
    <t>设计玻璃门展示柜，便于展示摆件和手办，层板可调节高度</t>
  </si>
  <si>
    <t>书籍区</t>
  </si>
  <si>
    <t>文学类、艺术类、儿童类</t>
  </si>
  <si>
    <t>设计带分类标签的书柜，层板可调节高度，适合不同尺寸的书籍</t>
  </si>
  <si>
    <t>地柜层板区</t>
  </si>
  <si>
    <t>游戏机、摄影器材</t>
  </si>
  <si>
    <t>设计带锁的地柜，适合存放贵重物品和电子设备</t>
  </si>
  <si>
    <t>书桌</t>
  </si>
  <si>
    <t>电脑、台灯、笔筒、文件夹</t>
  </si>
  <si>
    <t>设计带抽屉的书桌，便于存放办公用品，桌面预留足够空间</t>
  </si>
  <si>
    <t>文具</t>
  </si>
  <si>
    <t>文具、本子、胶带、手工剪刀</t>
  </si>
  <si>
    <t>设计带分隔的文具抽屉，分类存放文具用品，便于查找</t>
  </si>
  <si>
    <t>小电子</t>
  </si>
  <si>
    <t>U盘、数据线、充电宝</t>
  </si>
  <si>
    <t>设计带充电功能的抽屉，适合存放小电子设备，预留电源插座</t>
  </si>
  <si>
    <t>证件票据</t>
  </si>
  <si>
    <t>证件、票据、纪念品</t>
  </si>
  <si>
    <t>设计带锁的抽屉，适合存放证件和票据，内部加隔板分类</t>
  </si>
  <si>
    <t>儿童房</t>
  </si>
  <si>
    <t>收纳</t>
  </si>
  <si>
    <t>参考卧室收纳+婴儿护理品</t>
  </si>
  <si>
    <t>设计可调节高度的衣柜，适合不同年龄段儿童的衣物，预留婴儿护理品空间</t>
  </si>
  <si>
    <t>睡眠区</t>
  </si>
  <si>
    <t>家具</t>
  </si>
  <si>
    <t>地板床或低矮床</t>
  </si>
  <si>
    <t>设计低矮床，适合儿童上下床，床底可设计储物空间</t>
  </si>
  <si>
    <t>活动区</t>
  </si>
  <si>
    <t>玩具</t>
  </si>
  <si>
    <t>地垫、玩具柜、绘本架</t>
  </si>
  <si>
    <t>设计带滑轮的玩具柜，便于移动，分类存放不同类型的玩具</t>
  </si>
  <si>
    <t>学习区</t>
  </si>
  <si>
    <t>学习</t>
  </si>
  <si>
    <t>阅读角、书架、书桌</t>
  </si>
  <si>
    <t>设计带书架的学习区，适合存放绘本和学习用品，桌面预留足够空间</t>
  </si>
  <si>
    <t>储物间</t>
  </si>
  <si>
    <t>工具区</t>
  </si>
  <si>
    <t>工具</t>
  </si>
  <si>
    <t>五金工具、维修工具</t>
  </si>
  <si>
    <t>设计带挂钩的工具区，便于悬挂工具，分类存放不同类型的工具</t>
  </si>
  <si>
    <t>清洁类</t>
  </si>
  <si>
    <t>清洁</t>
  </si>
  <si>
    <t>吸尘器、洗地机、挂烫机</t>
  </si>
  <si>
    <t>设计无底板的清洁工具收纳区，便于清洁，预留足够高度（≥1.3m)</t>
  </si>
  <si>
    <t>运动类</t>
  </si>
  <si>
    <t>运动</t>
  </si>
  <si>
    <t>球类、滑板车、滑雪、高尔夫</t>
  </si>
  <si>
    <t>设计带挂钩的运动用品收纳区，分类存放不同类型的运动用品</t>
  </si>
  <si>
    <t>大件</t>
  </si>
  <si>
    <t>大件物品</t>
  </si>
  <si>
    <t>自行车、婴儿车、行李箱</t>
  </si>
  <si>
    <t>设计大容量储物区，适合存放大件物品，预留足够高度和宽度</t>
  </si>
  <si>
    <t>浴室</t>
  </si>
  <si>
    <t>镜柜</t>
  </si>
  <si>
    <t>洗漱</t>
  </si>
  <si>
    <t>洗漱用品、护肤品、化妆品</t>
  </si>
  <si>
    <t>设计带防雾镜子的镜柜，内部可调节层板，适合存放洗漱用品</t>
  </si>
  <si>
    <t>洗手液</t>
  </si>
  <si>
    <t>设计防滑台面，边缘做挡水，预留肥皂盒位置</t>
  </si>
  <si>
    <t>厕纸、洗脸巾、卫生巾</t>
  </si>
  <si>
    <t>设计带防水隔板的地柜，分类存放日用品，靠近马桶位置</t>
  </si>
  <si>
    <t>洁厕剂、手套、垃圾袋</t>
  </si>
  <si>
    <t>旅行</t>
  </si>
  <si>
    <t>洗漱包、护肤品小样</t>
  </si>
  <si>
    <t>洗护</t>
  </si>
  <si>
    <t>洗发水、沐浴露</t>
  </si>
  <si>
    <t>淋浴区</t>
  </si>
  <si>
    <t>毛巾</t>
  </si>
  <si>
    <t>搓澡巾、浴巾、浴球</t>
  </si>
  <si>
    <t>设计带挂钩的毛巾架，便于悬挂毛巾和浴球，靠近淋浴区</t>
  </si>
  <si>
    <t>阳台</t>
  </si>
  <si>
    <t>洗晒区</t>
  </si>
  <si>
    <t>洗剂</t>
  </si>
  <si>
    <t>洗衣液、洗衣粉、柔顺剂</t>
  </si>
  <si>
    <t>设计收纳柜，分类存放洗剂</t>
  </si>
  <si>
    <t>晾晒</t>
  </si>
  <si>
    <t>衣架、防风夹、洗衣篮</t>
  </si>
  <si>
    <t>设计脏衣区，预留晾衣架位置</t>
  </si>
  <si>
    <t>休闲区</t>
  </si>
  <si>
    <t>休闲物品</t>
  </si>
  <si>
    <t>绿植、桌椅、茶具、彩灯、灯笼</t>
  </si>
  <si>
    <t>设计带防水隔板的休闲区，适合存放绿植和休闲用品，预留电源插座</t>
  </si>
  <si>
    <t>园艺工具</t>
  </si>
  <si>
    <t>园艺工具、清洁用具、杂物</t>
  </si>
  <si>
    <t>设计带挂钩的园艺工具收纳区，分类存放工具，靠近阳台边缘</t>
  </si>
  <si>
    <t>序号</t>
  </si>
  <si>
    <t>注意事项</t>
  </si>
  <si>
    <t>商家填写</t>
  </si>
  <si>
    <t>详细说明</t>
  </si>
  <si>
    <t>衣柜柜门、柜体、背板厚度多少</t>
  </si>
  <si>
    <t>背板至少应为9mm，低于此标准的一律拒绝。了解加厚的费用及收费标准。柜体一般18mm，柜门一般22mm；</t>
  </si>
  <si>
    <t>衣柜面积计算方式？内部隔板有限制吗？能不能做活动层板</t>
  </si>
  <si>
    <t>一般按投影面积计算较为划算，问清楚内部隔板数量是否有限制，超出如何收费。</t>
  </si>
  <si>
    <t>抽屉如何赠送，超出如何计算</t>
  </si>
  <si>
    <t>一般是单独计费，问清楚抽屉是否有赠送，超出数量多少钱一个。</t>
  </si>
  <si>
    <t>五金件品牌，包含种类，升级费用</t>
  </si>
  <si>
    <t>问清楚包含的具体种类、数量和品牌。升级选项及收费。注意进口五金件真假。</t>
  </si>
  <si>
    <t>功能五金如反弹器、拉篮、裤架如何收费</t>
  </si>
  <si>
    <t>拉直器多少钱</t>
  </si>
  <si>
    <t>一门到顶的柜子需要拉直器，确认板材高度，是否需要安装拉直器及费用和质保期限。</t>
  </si>
  <si>
    <t>是否标配拉手、挂衣杆</t>
  </si>
  <si>
    <t>问清标配拉手的样式及更换的费用。</t>
  </si>
  <si>
    <t>隐形拉手是否收费</t>
  </si>
  <si>
    <t>问清是否支持隐形拉手设计及费用，计价方式是米还是根。</t>
  </si>
  <si>
    <t>灯带如何收费</t>
  </si>
  <si>
    <t>问清楚灯带的收费方式，变压器和开关是否有额外费用，开关方式。</t>
  </si>
  <si>
    <t>见光板如何收费</t>
  </si>
  <si>
    <t>问清见光板的收费标准。</t>
  </si>
  <si>
    <t>顶封板如何算</t>
  </si>
  <si>
    <t>确认顶封板的收费标准，是按柜体还是柜门收费。</t>
  </si>
  <si>
    <t>封边工艺</t>
  </si>
  <si>
    <t>问清楚封边工艺用的哪种，能用PUR的就不用EVA。</t>
  </si>
  <si>
    <t>柜子尺寸如何算超深，怎么收费</t>
  </si>
  <si>
    <t>衣柜深度通常是60cm，餐边柜和电视柜深度通常是35cm，柜子高度通常是2米4，超高超深可能涉及额外费用。</t>
  </si>
  <si>
    <t>L形转角柜如何计算</t>
  </si>
  <si>
    <t>问清楚L形转角柜如何测量计算面积，是否存在重复计算情况。</t>
  </si>
  <si>
    <t>特殊工艺如弧形如何收费，几米算超高，如何收费</t>
  </si>
  <si>
    <t>特殊造型、特殊拼接等可能需要额外费用，确认收费标准。像弧形这种</t>
  </si>
  <si>
    <t>收口条收费吗</t>
  </si>
  <si>
    <t>问清楚收口条怎么收费的，容易被重复收费。</t>
  </si>
  <si>
    <t>特殊工艺的花色有哪些，如何收费</t>
  </si>
  <si>
    <t>可能需要收费，确认哪花色收费及收费标准。</t>
  </si>
  <si>
    <t>玻璃门如何收费</t>
  </si>
  <si>
    <t>全屋定制周期</t>
  </si>
  <si>
    <t>通常为35-50天，明确定制和安装时间及逾期赔偿标准。</t>
  </si>
  <si>
    <t>安装和运输费</t>
  </si>
  <si>
    <t>并非所有商家包含，明确这些费用是否包含。</t>
  </si>
  <si>
    <t>甲醛超标怎么办</t>
  </si>
  <si>
    <t>质保</t>
  </si>
  <si>
    <t>确认售后质保期限及超出质保期后的维修费用如何计算。</t>
  </si>
  <si>
    <t>有哪些板材</t>
  </si>
  <si>
    <t>这些板材价格是多少</t>
  </si>
  <si>
    <t>项目</t>
  </si>
  <si>
    <t>小类型</t>
  </si>
  <si>
    <t>补充</t>
  </si>
  <si>
    <t>说明</t>
  </si>
  <si>
    <t>推荐</t>
  </si>
  <si>
    <t>计费方式</t>
  </si>
  <si>
    <t>投影面积：柜子长乘宽</t>
  </si>
  <si>
    <t>注意无门/镂空面积/不足1米算法</t>
  </si>
  <si>
    <t>投影面积1000</t>
  </si>
  <si>
    <t>展开面积：每一块板子面积</t>
  </si>
  <si>
    <t>容易被滥用板材数量</t>
  </si>
  <si>
    <t>1. 基本材质</t>
  </si>
  <si>
    <t>柜体</t>
  </si>
  <si>
    <t>板材</t>
  </si>
  <si>
    <t>决定耐用/环保/防水</t>
  </si>
  <si>
    <t>大芯板</t>
  </si>
  <si>
    <t>品牌</t>
  </si>
  <si>
    <t>免宝宝</t>
  </si>
  <si>
    <t>厚度 16mm/18mm/22mm</t>
  </si>
  <si>
    <t>标准为18MM</t>
  </si>
  <si>
    <t>18MM</t>
  </si>
  <si>
    <t>柜门</t>
  </si>
  <si>
    <t>决定美观/耐用/变形否/价格</t>
  </si>
  <si>
    <t>欧松板</t>
  </si>
  <si>
    <t>大东</t>
  </si>
  <si>
    <t>工艺</t>
  </si>
  <si>
    <t>烤漆/饰面/模压/PET（肤感/高光）等</t>
  </si>
  <si>
    <t>模压</t>
  </si>
  <si>
    <t>背板</t>
  </si>
  <si>
    <t>平板/造型</t>
  </si>
  <si>
    <t>根据装修风格选择</t>
  </si>
  <si>
    <t>回型</t>
  </si>
  <si>
    <t>厚度 5mm/9mm/18mm</t>
  </si>
  <si>
    <t>9MM较适合，5MM太薄，18MM贵</t>
  </si>
  <si>
    <t>9MM</t>
  </si>
  <si>
    <t>2. 基本五金</t>
  </si>
  <si>
    <t>铰链（带阻尼）</t>
  </si>
  <si>
    <t>材质</t>
  </si>
  <si>
    <t>大品牌：小品牌：可谈免费</t>
  </si>
  <si>
    <t>不锈钢</t>
  </si>
  <si>
    <t>悍高</t>
  </si>
  <si>
    <t>单价</t>
  </si>
  <si>
    <t>包/可自购，免费安装</t>
  </si>
  <si>
    <t>拉手</t>
  </si>
  <si>
    <t>非品牌有选择性送</t>
  </si>
  <si>
    <t>隐形拉手/内嵌拉手/长拉手/通顶拉手</t>
  </si>
  <si>
    <t>免费9款可选</t>
  </si>
  <si>
    <t>无</t>
  </si>
  <si>
    <t>材料类型</t>
  </si>
  <si>
    <t>可谈免费或按平送</t>
  </si>
  <si>
    <t>三节抽</t>
  </si>
  <si>
    <t>3. 体验增加（加钱）五金</t>
  </si>
  <si>
    <t>拉直器</t>
  </si>
  <si>
    <t>材质/品牌/单价</t>
  </si>
  <si>
    <t>要*</t>
  </si>
  <si>
    <t>不要按米算，注意厚度</t>
  </si>
  <si>
    <t>品牌/单价</t>
  </si>
  <si>
    <t>建议自购</t>
  </si>
  <si>
    <t>海蒂诗 50/个/可自购，免费安装</t>
  </si>
  <si>
    <t>可自购，免费安装</t>
  </si>
  <si>
    <t>穿衣镜</t>
  </si>
  <si>
    <t>可谈免费送1-3个</t>
  </si>
  <si>
    <t>一般可以送1-3个</t>
  </si>
  <si>
    <t>传统/新式</t>
  </si>
  <si>
    <t>建议自购新式裤架</t>
  </si>
  <si>
    <t>送1个</t>
  </si>
  <si>
    <t>4. 不LOW核心</t>
  </si>
  <si>
    <t>见光板</t>
  </si>
  <si>
    <t>柜门同色同质</t>
  </si>
  <si>
    <t>肤感 150/平</t>
  </si>
  <si>
    <t>收口条</t>
  </si>
  <si>
    <t>可谈免费</t>
  </si>
  <si>
    <t>肤感 70/米</t>
  </si>
  <si>
    <t>顶封板</t>
  </si>
  <si>
    <t>是否柜门同色</t>
  </si>
  <si>
    <t>5. 付费变美</t>
  </si>
  <si>
    <t>玻璃门</t>
  </si>
  <si>
    <t>白玻/灰玻/长虹玻璃</t>
  </si>
  <si>
    <t>木框/金属框/拉手类型</t>
  </si>
  <si>
    <t>肤感木框长划玻璃 +350/平</t>
  </si>
  <si>
    <t>罗马柱</t>
  </si>
  <si>
    <t>肤感/烤漆</t>
  </si>
  <si>
    <t>灯带/变压器/感应器</t>
  </si>
  <si>
    <t>灯带100/米，变压器200/个 感应</t>
  </si>
  <si>
    <t>顶线</t>
  </si>
  <si>
    <t>肤感/烤漆/造型</t>
  </si>
  <si>
    <t>6. 其他</t>
  </si>
  <si>
    <t>镂空（无背板）算法</t>
  </si>
  <si>
    <t>书桌算法（按平方/按米）</t>
  </si>
  <si>
    <t>按米算</t>
  </si>
  <si>
    <t>推拉门</t>
  </si>
  <si>
    <t>不足1米按多少算</t>
  </si>
  <si>
    <t>最好实算</t>
  </si>
  <si>
    <t>榻榻米算法</t>
  </si>
  <si>
    <t>五金配件</t>
  </si>
  <si>
    <t>非标费</t>
  </si>
  <si>
    <t>异型（如三角形、拱形、斜拉手）</t>
  </si>
  <si>
    <t>圆角柜</t>
  </si>
  <si>
    <t>定制区域</t>
  </si>
  <si>
    <t>部件名称</t>
  </si>
  <si>
    <t>高(H)</t>
  </si>
  <si>
    <t>宽(W)</t>
  </si>
  <si>
    <t>深(D)</t>
  </si>
  <si>
    <t>面积/米/个</t>
  </si>
  <si>
    <t>单位</t>
  </si>
  <si>
    <t>单价(元)（示例）</t>
  </si>
  <si>
    <t>计算金额(元)（示例）</t>
  </si>
  <si>
    <t>柜体+门</t>
  </si>
  <si>
    <t>㎡</t>
  </si>
  <si>
    <t>18背板补差</t>
  </si>
  <si>
    <t>R50成品圆弧</t>
  </si>
  <si>
    <t>m</t>
  </si>
  <si>
    <t>反弹器</t>
  </si>
  <si>
    <t>个</t>
  </si>
  <si>
    <t>鞋柜</t>
  </si>
  <si>
    <t>R38成品圆弧</t>
  </si>
  <si>
    <t>柜体结构</t>
  </si>
  <si>
    <t>45度斜边拉手</t>
  </si>
  <si>
    <t>灯带</t>
  </si>
  <si>
    <t>触摸开关、变压器</t>
  </si>
  <si>
    <t>套</t>
  </si>
  <si>
    <t>R215异形板封边</t>
  </si>
  <si>
    <t>块</t>
  </si>
  <si>
    <t>抽屉超宽</t>
  </si>
  <si>
    <t>拖底抽补差</t>
  </si>
  <si>
    <t>副</t>
  </si>
  <si>
    <t>主卧衣柜</t>
  </si>
  <si>
    <t>底抽补差</t>
  </si>
  <si>
    <t>折叠穿衣镜</t>
  </si>
  <si>
    <t>书房柜</t>
  </si>
  <si>
    <t>铝框玻璃门</t>
  </si>
  <si>
    <t>台面25板补差</t>
  </si>
  <si>
    <t>儿童房榻榻米</t>
  </si>
  <si>
    <t>榻榻米拉手</t>
  </si>
  <si>
    <t>气撑</t>
  </si>
  <si>
    <t>主卧墙板</t>
  </si>
  <si>
    <t>墙板</t>
  </si>
  <si>
    <t>垫条</t>
  </si>
  <si>
    <t>H槽卡槽</t>
  </si>
  <si>
    <t>超抽屉</t>
  </si>
  <si>
    <t>总平方</t>
  </si>
  <si>
    <t>总应收尾款金额</t>
  </si>
  <si>
    <t>名称</t>
  </si>
  <si>
    <t>长度</t>
  </si>
  <si>
    <t>高度</t>
  </si>
  <si>
    <t>面积</t>
  </si>
  <si>
    <t>备注</t>
  </si>
  <si>
    <t>阳台柜</t>
  </si>
  <si>
    <t>次卧衣柜</t>
  </si>
  <si>
    <t>厨房高柜</t>
  </si>
  <si>
    <t>儿童房床头柜</t>
  </si>
  <si>
    <t>合计</t>
  </si>
  <si>
    <t>二级项目</t>
  </si>
  <si>
    <t>注意点</t>
  </si>
  <si>
    <t>观感</t>
  </si>
  <si>
    <t>颜色搭配</t>
  </si>
  <si>
    <t>面板质感</t>
  </si>
  <si>
    <t>设计</t>
  </si>
  <si>
    <t>形状搭配</t>
  </si>
  <si>
    <t>是否考虑日常生活习惯，是否考虑日常生活习惯</t>
  </si>
  <si>
    <t>观感是否舒服</t>
  </si>
  <si>
    <t>整体设计落地效果是不是和谐，定制家具有没有丝滑的融入空间，简单来说就是你看着舒服，没有割裂感、突兀感</t>
  </si>
  <si>
    <t>安装</t>
  </si>
  <si>
    <t>门缝横平竖直</t>
  </si>
  <si>
    <t>有没有做到横平竖直、整齐划一，是不是精致；柜门上下缝有没有平直统一</t>
  </si>
  <si>
    <t>螺钉</t>
  </si>
  <si>
    <t>查看柜体内部有没有明显的钉帽外露</t>
  </si>
  <si>
    <t>白色封边</t>
  </si>
  <si>
    <t>质感，封边，特别是白色的封边，有没有明显溢胶</t>
  </si>
  <si>
    <t>开孔封边</t>
  </si>
  <si>
    <t>开孔是否有封边处理</t>
  </si>
  <si>
    <t>平整度</t>
  </si>
  <si>
    <t>看油漆类定制产品的平整度如何，用手摸过去有没有刮手的感觉；漆面上的漆点多不多</t>
  </si>
  <si>
    <t>五金</t>
  </si>
  <si>
    <t>手感，异响，晃动</t>
  </si>
  <si>
    <t>看五金手感，五金件的选用关系着开关门使用手感，柜门多次开关是否有异响，关门时是否有声音，抽屉是否晃动不稳，轨道是否顺滑，衣杆质感是否良好</t>
  </si>
  <si>
    <t>流畅丝滑</t>
  </si>
  <si>
    <t>体验五金使用的流畅度，打开地柜或者高柜，感受功能五金的使用是否丝滑；拉开抽屉，再关上，体验开合是否顺畅。</t>
  </si>
  <si>
    <t>收口</t>
  </si>
  <si>
    <t>柜子与墙面</t>
  </si>
  <si>
    <t>收口细节做的如何，比如柜子与墙面收口</t>
  </si>
  <si>
    <t>味道</t>
  </si>
  <si>
    <t>有无刺鼻味道</t>
  </si>
  <si>
    <t>一进工地如果有明显的刺鼻味道，那可以转身走了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</si>
</sst>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2"/>
      <color rgb="FF333333"/>
      <name val="宋体"/>
      <charset val="134"/>
    </font>
    <font>
      <sz val="12"/>
      <color rgb="FF333333"/>
      <name val="Segoe UI Emoji"/>
      <charset val="134"/>
    </font>
    <font>
      <b/>
      <sz val="10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0.5"/>
      <color rgb="FF060607"/>
      <name val="宋体"/>
      <charset val="134"/>
    </font>
    <font>
      <sz val="10.5"/>
      <color rgb="FF060607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76" fontId="6" fillId="3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76" fontId="6" fillId="4" borderId="1" xfId="0" applyNumberFormat="1" applyFont="1" applyFill="1" applyBorder="1" applyAlignment="1">
      <alignment vertical="center"/>
    </xf>
    <xf numFmtId="49" fontId="6" fillId="4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176" fontId="6" fillId="0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7" fillId="5" borderId="1" xfId="0" applyFont="1" applyFill="1" applyBorder="1" applyAlignment="1">
      <alignment horizontal="justify" vertical="center" wrapText="1"/>
    </xf>
    <xf numFmtId="0" fontId="8" fillId="7" borderId="1" xfId="0" applyFont="1" applyFill="1" applyBorder="1" applyAlignment="1">
      <alignment horizontal="justify" vertical="center" wrapText="1"/>
    </xf>
    <xf numFmtId="0" fontId="9" fillId="7" borderId="1" xfId="0" applyFont="1" applyFill="1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workbookViewId="0">
      <selection activeCell="E63" sqref="E63"/>
    </sheetView>
  </sheetViews>
  <sheetFormatPr defaultColWidth="9" defaultRowHeight="14.4" outlineLevelCol="4"/>
  <cols>
    <col min="3" max="3" width="13.2222222222222" customWidth="1"/>
    <col min="4" max="4" width="43.1111111111111" customWidth="1"/>
    <col min="5" max="5" width="33.4444444444444" style="33" customWidth="1"/>
  </cols>
  <sheetData>
    <row r="1" spans="1: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</row>
    <row r="2" spans="1:5">
      <c r="A2" s="35" t="s">
        <v>5</v>
      </c>
      <c r="B2" s="36" t="s">
        <v>6</v>
      </c>
      <c r="C2" s="36" t="s">
        <v>7</v>
      </c>
      <c r="D2" s="36" t="s">
        <v>8</v>
      </c>
      <c r="E2" s="6" t="s">
        <v>9</v>
      </c>
    </row>
    <row r="3" ht="33" customHeight="1" spans="1:5">
      <c r="A3" s="35"/>
      <c r="B3" s="36"/>
      <c r="C3" s="36" t="s">
        <v>10</v>
      </c>
      <c r="D3" s="36" t="s">
        <v>11</v>
      </c>
      <c r="E3" s="6"/>
    </row>
    <row r="4" ht="28.8" spans="1:5">
      <c r="A4" s="35"/>
      <c r="B4" s="36" t="s">
        <v>12</v>
      </c>
      <c r="C4" s="36" t="s">
        <v>13</v>
      </c>
      <c r="D4" s="36" t="s">
        <v>14</v>
      </c>
      <c r="E4" s="6" t="s">
        <v>15</v>
      </c>
    </row>
    <row r="5" spans="1:5">
      <c r="A5" s="35"/>
      <c r="B5" s="36" t="s">
        <v>16</v>
      </c>
      <c r="C5" s="36" t="s">
        <v>17</v>
      </c>
      <c r="D5" s="36" t="s">
        <v>18</v>
      </c>
      <c r="E5" s="37" t="s">
        <v>19</v>
      </c>
    </row>
    <row r="6" ht="33" customHeight="1" spans="1:5">
      <c r="A6" s="35"/>
      <c r="B6" s="36"/>
      <c r="C6" s="36" t="s">
        <v>20</v>
      </c>
      <c r="D6" s="36" t="s">
        <v>21</v>
      </c>
      <c r="E6" s="38"/>
    </row>
    <row r="7" ht="28.8" spans="1:5">
      <c r="A7" s="35"/>
      <c r="B7" s="36" t="s">
        <v>22</v>
      </c>
      <c r="C7" s="36" t="s">
        <v>23</v>
      </c>
      <c r="D7" s="36" t="s">
        <v>24</v>
      </c>
      <c r="E7" s="6" t="s">
        <v>25</v>
      </c>
    </row>
    <row r="8" ht="43.2" spans="1:5">
      <c r="A8" s="35"/>
      <c r="B8" s="36"/>
      <c r="C8" s="35" t="s">
        <v>26</v>
      </c>
      <c r="D8" s="36" t="s">
        <v>27</v>
      </c>
      <c r="E8" s="6" t="s">
        <v>28</v>
      </c>
    </row>
    <row r="9" ht="28.8" spans="1:5">
      <c r="A9" s="35"/>
      <c r="B9" s="36"/>
      <c r="C9" s="36" t="s">
        <v>29</v>
      </c>
      <c r="D9" s="36" t="s">
        <v>30</v>
      </c>
      <c r="E9" s="6" t="s">
        <v>31</v>
      </c>
    </row>
    <row r="10" ht="28.8" spans="1:5">
      <c r="A10" s="35" t="s">
        <v>32</v>
      </c>
      <c r="B10" s="36" t="s">
        <v>33</v>
      </c>
      <c r="C10" s="36" t="s">
        <v>34</v>
      </c>
      <c r="D10" s="36" t="s">
        <v>35</v>
      </c>
      <c r="E10" s="6" t="s">
        <v>36</v>
      </c>
    </row>
    <row r="11" ht="28.8" spans="1:5">
      <c r="A11" s="35"/>
      <c r="B11" s="35" t="s">
        <v>37</v>
      </c>
      <c r="C11" s="36" t="s">
        <v>38</v>
      </c>
      <c r="D11" s="36" t="s">
        <v>39</v>
      </c>
      <c r="E11" s="6" t="s">
        <v>40</v>
      </c>
    </row>
    <row r="12" ht="28.8" spans="1:5">
      <c r="A12" s="35"/>
      <c r="B12" s="35"/>
      <c r="C12" s="36" t="s">
        <v>41</v>
      </c>
      <c r="D12" s="36" t="s">
        <v>42</v>
      </c>
      <c r="E12" s="6" t="s">
        <v>43</v>
      </c>
    </row>
    <row r="13" ht="28.8" spans="1:5">
      <c r="A13" s="35"/>
      <c r="B13" s="36" t="s">
        <v>44</v>
      </c>
      <c r="C13" s="36" t="s">
        <v>45</v>
      </c>
      <c r="D13" s="36" t="s">
        <v>46</v>
      </c>
      <c r="E13" s="6" t="s">
        <v>47</v>
      </c>
    </row>
    <row r="14" ht="28.8" spans="1:5">
      <c r="A14" s="35"/>
      <c r="B14" s="36"/>
      <c r="C14" s="36" t="s">
        <v>48</v>
      </c>
      <c r="D14" s="36" t="s">
        <v>49</v>
      </c>
      <c r="E14" s="6" t="s">
        <v>50</v>
      </c>
    </row>
    <row r="15" ht="28.8" spans="1:5">
      <c r="A15" s="35"/>
      <c r="B15" s="36" t="s">
        <v>51</v>
      </c>
      <c r="C15" s="36" t="s">
        <v>52</v>
      </c>
      <c r="D15" s="36" t="s">
        <v>53</v>
      </c>
      <c r="E15" s="6" t="s">
        <v>54</v>
      </c>
    </row>
    <row r="16" ht="28.8" spans="1:5">
      <c r="A16" s="36" t="s">
        <v>55</v>
      </c>
      <c r="B16" s="36" t="s">
        <v>56</v>
      </c>
      <c r="C16" s="36" t="s">
        <v>57</v>
      </c>
      <c r="D16" s="36" t="s">
        <v>58</v>
      </c>
      <c r="E16" s="6" t="s">
        <v>59</v>
      </c>
    </row>
    <row r="17" ht="28.8" spans="1:5">
      <c r="A17" s="36"/>
      <c r="B17" s="36" t="s">
        <v>60</v>
      </c>
      <c r="C17" s="36" t="s">
        <v>61</v>
      </c>
      <c r="D17" s="36" t="s">
        <v>62</v>
      </c>
      <c r="E17" s="6" t="s">
        <v>63</v>
      </c>
    </row>
    <row r="18" ht="28.8" spans="1:5">
      <c r="A18" s="36"/>
      <c r="B18" s="36"/>
      <c r="C18" s="36" t="s">
        <v>45</v>
      </c>
      <c r="D18" s="36" t="s">
        <v>64</v>
      </c>
      <c r="E18" s="6" t="s">
        <v>65</v>
      </c>
    </row>
    <row r="19" ht="28.8" spans="1:5">
      <c r="A19" s="36"/>
      <c r="B19" s="36"/>
      <c r="C19" s="36" t="s">
        <v>48</v>
      </c>
      <c r="D19" s="36" t="s">
        <v>66</v>
      </c>
      <c r="E19" s="6" t="s">
        <v>67</v>
      </c>
    </row>
    <row r="20" ht="28.8" spans="1:5">
      <c r="A20" s="36"/>
      <c r="B20" s="36"/>
      <c r="C20" s="36" t="s">
        <v>68</v>
      </c>
      <c r="D20" s="36" t="s">
        <v>69</v>
      </c>
      <c r="E20" s="6" t="s">
        <v>70</v>
      </c>
    </row>
    <row r="21" ht="28.8" spans="1:5">
      <c r="A21" s="36" t="s">
        <v>71</v>
      </c>
      <c r="B21" s="36" t="s">
        <v>72</v>
      </c>
      <c r="C21" s="36" t="s">
        <v>73</v>
      </c>
      <c r="D21" s="36" t="s">
        <v>74</v>
      </c>
      <c r="E21" s="6" t="s">
        <v>75</v>
      </c>
    </row>
    <row r="22" ht="28.8" spans="1:5">
      <c r="A22" s="36"/>
      <c r="B22" s="36"/>
      <c r="C22" s="36" t="s">
        <v>76</v>
      </c>
      <c r="D22" s="36" t="s">
        <v>77</v>
      </c>
      <c r="E22" s="6" t="s">
        <v>78</v>
      </c>
    </row>
    <row r="23" ht="28.8" spans="1:5">
      <c r="A23" s="36"/>
      <c r="B23" s="36" t="s">
        <v>45</v>
      </c>
      <c r="C23" s="36" t="s">
        <v>79</v>
      </c>
      <c r="D23" s="36" t="s">
        <v>80</v>
      </c>
      <c r="E23" s="6" t="s">
        <v>81</v>
      </c>
    </row>
    <row r="24" ht="28.8" spans="1:5">
      <c r="A24" s="36"/>
      <c r="B24" s="36"/>
      <c r="C24" s="36" t="s">
        <v>82</v>
      </c>
      <c r="D24" s="36" t="s">
        <v>83</v>
      </c>
      <c r="E24" s="6" t="s">
        <v>84</v>
      </c>
    </row>
    <row r="25" ht="28.8" spans="1:5">
      <c r="A25" s="36"/>
      <c r="B25" s="36"/>
      <c r="C25" s="36" t="s">
        <v>85</v>
      </c>
      <c r="D25" s="36" t="s">
        <v>86</v>
      </c>
      <c r="E25" s="6" t="s">
        <v>87</v>
      </c>
    </row>
    <row r="26" ht="28.8" spans="1:5">
      <c r="A26" s="36"/>
      <c r="B26" s="36" t="s">
        <v>68</v>
      </c>
      <c r="C26" s="36" t="s">
        <v>88</v>
      </c>
      <c r="D26" s="36" t="s">
        <v>89</v>
      </c>
      <c r="E26" s="6" t="s">
        <v>90</v>
      </c>
    </row>
    <row r="27" ht="28.8" spans="1:5">
      <c r="A27" s="36"/>
      <c r="B27" s="36"/>
      <c r="C27" s="36" t="s">
        <v>10</v>
      </c>
      <c r="D27" s="36" t="s">
        <v>91</v>
      </c>
      <c r="E27" s="6" t="s">
        <v>92</v>
      </c>
    </row>
    <row r="28" ht="28.8" spans="1:5">
      <c r="A28" s="36"/>
      <c r="B28" s="36"/>
      <c r="C28" s="36" t="s">
        <v>93</v>
      </c>
      <c r="D28" s="36" t="s">
        <v>94</v>
      </c>
      <c r="E28" s="6" t="s">
        <v>95</v>
      </c>
    </row>
    <row r="29" ht="28.8" spans="1:5">
      <c r="A29" s="36"/>
      <c r="B29" s="36" t="s">
        <v>51</v>
      </c>
      <c r="C29" s="36" t="s">
        <v>96</v>
      </c>
      <c r="D29" s="36" t="s">
        <v>97</v>
      </c>
      <c r="E29" s="6" t="s">
        <v>98</v>
      </c>
    </row>
    <row r="30" ht="28.8" spans="1:5">
      <c r="A30" s="36"/>
      <c r="B30" s="36" t="s">
        <v>99</v>
      </c>
      <c r="C30" s="36" t="s">
        <v>100</v>
      </c>
      <c r="D30" s="36" t="s">
        <v>101</v>
      </c>
      <c r="E30" s="6" t="s">
        <v>102</v>
      </c>
    </row>
    <row r="31" ht="28.8" spans="1:5">
      <c r="A31" s="36"/>
      <c r="B31" s="36"/>
      <c r="C31" s="36" t="s">
        <v>103</v>
      </c>
      <c r="D31" s="36" t="s">
        <v>104</v>
      </c>
      <c r="E31" s="6" t="s">
        <v>105</v>
      </c>
    </row>
    <row r="32" ht="43.2" spans="1:5">
      <c r="A32" s="36" t="s">
        <v>106</v>
      </c>
      <c r="B32" s="36" t="s">
        <v>107</v>
      </c>
      <c r="C32" s="36" t="s">
        <v>108</v>
      </c>
      <c r="D32" s="36" t="s">
        <v>109</v>
      </c>
      <c r="E32" s="6" t="s">
        <v>110</v>
      </c>
    </row>
    <row r="33" ht="43.2" spans="1:5">
      <c r="A33" s="36"/>
      <c r="B33" s="36"/>
      <c r="C33" s="36" t="s">
        <v>111</v>
      </c>
      <c r="D33" s="36" t="s">
        <v>112</v>
      </c>
      <c r="E33" s="6" t="s">
        <v>113</v>
      </c>
    </row>
    <row r="34" ht="28.8" spans="1:5">
      <c r="A34" s="36"/>
      <c r="B34" s="36"/>
      <c r="C34" s="36" t="s">
        <v>16</v>
      </c>
      <c r="D34" s="36" t="s">
        <v>114</v>
      </c>
      <c r="E34" s="6" t="s">
        <v>115</v>
      </c>
    </row>
    <row r="35" ht="28.8" spans="1:5">
      <c r="A35" s="36"/>
      <c r="B35" s="36"/>
      <c r="C35" s="36" t="s">
        <v>116</v>
      </c>
      <c r="D35" s="36" t="s">
        <v>117</v>
      </c>
      <c r="E35" s="6" t="s">
        <v>118</v>
      </c>
    </row>
    <row r="36" ht="28.8" spans="1:5">
      <c r="A36" s="36"/>
      <c r="B36" s="36" t="s">
        <v>119</v>
      </c>
      <c r="C36" s="36" t="s">
        <v>57</v>
      </c>
      <c r="D36" s="36" t="s">
        <v>120</v>
      </c>
      <c r="E36" s="6" t="s">
        <v>121</v>
      </c>
    </row>
    <row r="37" ht="28.8" spans="1:5">
      <c r="A37" s="36"/>
      <c r="B37" s="36" t="s">
        <v>122</v>
      </c>
      <c r="C37" s="36" t="s">
        <v>57</v>
      </c>
      <c r="D37" s="36" t="s">
        <v>123</v>
      </c>
      <c r="E37" s="6" t="s">
        <v>124</v>
      </c>
    </row>
    <row r="38" ht="28.8" spans="1:5">
      <c r="A38" s="36" t="s">
        <v>125</v>
      </c>
      <c r="B38" s="36" t="s">
        <v>126</v>
      </c>
      <c r="C38" s="36" t="s">
        <v>127</v>
      </c>
      <c r="D38" s="36" t="s">
        <v>128</v>
      </c>
      <c r="E38" s="6" t="s">
        <v>129</v>
      </c>
    </row>
    <row r="39" ht="28.8" spans="1:5">
      <c r="A39" s="36"/>
      <c r="B39" s="36"/>
      <c r="C39" s="36" t="s">
        <v>130</v>
      </c>
      <c r="D39" s="36" t="s">
        <v>131</v>
      </c>
      <c r="E39" s="6" t="s">
        <v>132</v>
      </c>
    </row>
    <row r="40" ht="28.8" spans="1:5">
      <c r="A40" s="36"/>
      <c r="B40" s="36"/>
      <c r="C40" s="36" t="s">
        <v>133</v>
      </c>
      <c r="D40" s="36" t="s">
        <v>134</v>
      </c>
      <c r="E40" s="6" t="s">
        <v>135</v>
      </c>
    </row>
    <row r="41" ht="28.8" spans="1:5">
      <c r="A41" s="36"/>
      <c r="B41" s="36" t="s">
        <v>136</v>
      </c>
      <c r="C41" s="36" t="s">
        <v>57</v>
      </c>
      <c r="D41" s="36" t="s">
        <v>137</v>
      </c>
      <c r="E41" s="6" t="s">
        <v>138</v>
      </c>
    </row>
    <row r="42" ht="28.8" spans="1:5">
      <c r="A42" s="36"/>
      <c r="B42" s="36"/>
      <c r="C42" s="36" t="s">
        <v>139</v>
      </c>
      <c r="D42" s="36" t="s">
        <v>140</v>
      </c>
      <c r="E42" s="6" t="s">
        <v>141</v>
      </c>
    </row>
    <row r="43" ht="28.8" spans="1:5">
      <c r="A43" s="36"/>
      <c r="B43" s="36"/>
      <c r="C43" s="36" t="s">
        <v>142</v>
      </c>
      <c r="D43" s="36" t="s">
        <v>143</v>
      </c>
      <c r="E43" s="6" t="s">
        <v>144</v>
      </c>
    </row>
    <row r="44" ht="28.8" spans="1:5">
      <c r="A44" s="36"/>
      <c r="B44" s="36"/>
      <c r="C44" s="36" t="s">
        <v>145</v>
      </c>
      <c r="D44" s="36" t="s">
        <v>146</v>
      </c>
      <c r="E44" s="6" t="s">
        <v>147</v>
      </c>
    </row>
    <row r="45" ht="43.2" spans="1:5">
      <c r="A45" s="36" t="s">
        <v>148</v>
      </c>
      <c r="B45" s="36" t="s">
        <v>107</v>
      </c>
      <c r="C45" s="36" t="s">
        <v>149</v>
      </c>
      <c r="D45" s="36" t="s">
        <v>150</v>
      </c>
      <c r="E45" s="6" t="s">
        <v>151</v>
      </c>
    </row>
    <row r="46" ht="28.8" spans="1:5">
      <c r="A46" s="36"/>
      <c r="B46" s="36" t="s">
        <v>152</v>
      </c>
      <c r="C46" s="36" t="s">
        <v>153</v>
      </c>
      <c r="D46" s="36" t="s">
        <v>154</v>
      </c>
      <c r="E46" s="6" t="s">
        <v>155</v>
      </c>
    </row>
    <row r="47" ht="28.8" spans="1:5">
      <c r="A47" s="36"/>
      <c r="B47" s="36" t="s">
        <v>156</v>
      </c>
      <c r="C47" s="36" t="s">
        <v>157</v>
      </c>
      <c r="D47" s="36" t="s">
        <v>158</v>
      </c>
      <c r="E47" s="6" t="s">
        <v>159</v>
      </c>
    </row>
    <row r="48" ht="28.8" spans="1:5">
      <c r="A48" s="36"/>
      <c r="B48" s="36" t="s">
        <v>160</v>
      </c>
      <c r="C48" s="36" t="s">
        <v>161</v>
      </c>
      <c r="D48" s="36" t="s">
        <v>162</v>
      </c>
      <c r="E48" s="6" t="s">
        <v>163</v>
      </c>
    </row>
    <row r="49" ht="28.8" spans="1:5">
      <c r="A49" s="36" t="s">
        <v>164</v>
      </c>
      <c r="B49" s="36" t="s">
        <v>165</v>
      </c>
      <c r="C49" s="36" t="s">
        <v>166</v>
      </c>
      <c r="D49" s="36" t="s">
        <v>167</v>
      </c>
      <c r="E49" s="6" t="s">
        <v>168</v>
      </c>
    </row>
    <row r="50" ht="28.8" spans="1:5">
      <c r="A50" s="36"/>
      <c r="B50" s="36" t="s">
        <v>169</v>
      </c>
      <c r="C50" s="36" t="s">
        <v>170</v>
      </c>
      <c r="D50" s="36" t="s">
        <v>171</v>
      </c>
      <c r="E50" s="6" t="s">
        <v>172</v>
      </c>
    </row>
    <row r="51" ht="28.8" spans="1:5">
      <c r="A51" s="36"/>
      <c r="B51" s="36" t="s">
        <v>173</v>
      </c>
      <c r="C51" s="36" t="s">
        <v>174</v>
      </c>
      <c r="D51" s="36" t="s">
        <v>175</v>
      </c>
      <c r="E51" s="6" t="s">
        <v>176</v>
      </c>
    </row>
    <row r="52" ht="28.8" spans="1:5">
      <c r="A52" s="36"/>
      <c r="B52" s="36" t="s">
        <v>177</v>
      </c>
      <c r="C52" s="36" t="s">
        <v>178</v>
      </c>
      <c r="D52" s="36" t="s">
        <v>179</v>
      </c>
      <c r="E52" s="6" t="s">
        <v>180</v>
      </c>
    </row>
    <row r="53" ht="28.8" spans="1:5">
      <c r="A53" s="36" t="s">
        <v>181</v>
      </c>
      <c r="B53" s="36" t="s">
        <v>182</v>
      </c>
      <c r="C53" s="36" t="s">
        <v>183</v>
      </c>
      <c r="D53" s="36" t="s">
        <v>184</v>
      </c>
      <c r="E53" s="6" t="s">
        <v>185</v>
      </c>
    </row>
    <row r="54" ht="28.8" spans="1:5">
      <c r="A54" s="36"/>
      <c r="B54" s="36" t="s">
        <v>45</v>
      </c>
      <c r="C54" s="36" t="s">
        <v>170</v>
      </c>
      <c r="D54" s="36" t="s">
        <v>186</v>
      </c>
      <c r="E54" s="6" t="s">
        <v>187</v>
      </c>
    </row>
    <row r="55" spans="1:5">
      <c r="A55" s="36"/>
      <c r="B55" s="36" t="s">
        <v>68</v>
      </c>
      <c r="C55" s="36" t="s">
        <v>17</v>
      </c>
      <c r="D55" s="36" t="s">
        <v>188</v>
      </c>
      <c r="E55" s="2" t="s">
        <v>189</v>
      </c>
    </row>
    <row r="56" spans="1:5">
      <c r="A56" s="36"/>
      <c r="B56" s="36"/>
      <c r="C56" s="36" t="s">
        <v>10</v>
      </c>
      <c r="D56" s="36" t="s">
        <v>190</v>
      </c>
      <c r="E56" s="5"/>
    </row>
    <row r="57" spans="1:5">
      <c r="A57" s="36"/>
      <c r="B57" s="36"/>
      <c r="C57" s="36" t="s">
        <v>191</v>
      </c>
      <c r="D57" s="36" t="s">
        <v>192</v>
      </c>
      <c r="E57" s="5"/>
    </row>
    <row r="58" spans="1:5">
      <c r="A58" s="36"/>
      <c r="B58" s="36"/>
      <c r="C58" s="36" t="s">
        <v>193</v>
      </c>
      <c r="D58" s="36" t="s">
        <v>194</v>
      </c>
      <c r="E58" s="4"/>
    </row>
    <row r="59" ht="28.8" spans="1:5">
      <c r="A59" s="36"/>
      <c r="B59" s="36" t="s">
        <v>195</v>
      </c>
      <c r="C59" s="36" t="s">
        <v>196</v>
      </c>
      <c r="D59" s="36" t="s">
        <v>197</v>
      </c>
      <c r="E59" s="6" t="s">
        <v>198</v>
      </c>
    </row>
    <row r="60" spans="1:5">
      <c r="A60" s="36" t="s">
        <v>199</v>
      </c>
      <c r="B60" s="36" t="s">
        <v>200</v>
      </c>
      <c r="C60" s="36" t="s">
        <v>201</v>
      </c>
      <c r="D60" s="36" t="s">
        <v>202</v>
      </c>
      <c r="E60" s="6" t="s">
        <v>203</v>
      </c>
    </row>
    <row r="61" spans="1:5">
      <c r="A61" s="36"/>
      <c r="B61" s="36"/>
      <c r="C61" s="36" t="s">
        <v>204</v>
      </c>
      <c r="D61" s="36" t="s">
        <v>205</v>
      </c>
      <c r="E61" s="6" t="s">
        <v>206</v>
      </c>
    </row>
    <row r="62" ht="28.8" spans="1:5">
      <c r="A62" s="36"/>
      <c r="B62" s="36" t="s">
        <v>207</v>
      </c>
      <c r="C62" s="36" t="s">
        <v>208</v>
      </c>
      <c r="D62" s="36" t="s">
        <v>209</v>
      </c>
      <c r="E62" s="6" t="s">
        <v>210</v>
      </c>
    </row>
    <row r="63" ht="28.8" spans="1:5">
      <c r="A63" s="36"/>
      <c r="B63" s="36" t="s">
        <v>108</v>
      </c>
      <c r="C63" s="36" t="s">
        <v>211</v>
      </c>
      <c r="D63" s="36" t="s">
        <v>212</v>
      </c>
      <c r="E63" s="6" t="s">
        <v>213</v>
      </c>
    </row>
  </sheetData>
  <mergeCells count="28">
    <mergeCell ref="A2:A9"/>
    <mergeCell ref="A10:A15"/>
    <mergeCell ref="A16:A20"/>
    <mergeCell ref="A21:A31"/>
    <mergeCell ref="A32:A37"/>
    <mergeCell ref="A38:A44"/>
    <mergeCell ref="A45:A48"/>
    <mergeCell ref="A49:A52"/>
    <mergeCell ref="A53:A59"/>
    <mergeCell ref="A60:A63"/>
    <mergeCell ref="B2:B3"/>
    <mergeCell ref="B5:B6"/>
    <mergeCell ref="B7:B9"/>
    <mergeCell ref="B11:B12"/>
    <mergeCell ref="B13:B14"/>
    <mergeCell ref="B17:B20"/>
    <mergeCell ref="B21:B22"/>
    <mergeCell ref="B23:B25"/>
    <mergeCell ref="B26:B28"/>
    <mergeCell ref="B30:B31"/>
    <mergeCell ref="B32:B35"/>
    <mergeCell ref="B38:B40"/>
    <mergeCell ref="B41:B44"/>
    <mergeCell ref="B55:B58"/>
    <mergeCell ref="B60:B61"/>
    <mergeCell ref="E2:E3"/>
    <mergeCell ref="E5:E6"/>
    <mergeCell ref="E55:E5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10" sqref="D10"/>
    </sheetView>
  </sheetViews>
  <sheetFormatPr defaultColWidth="8.88888888888889" defaultRowHeight="14.4" outlineLevelCol="3"/>
  <cols>
    <col min="1" max="1" width="7.22222222222222" customWidth="1"/>
    <col min="2" max="2" width="21.5555555555556" customWidth="1"/>
    <col min="3" max="3" width="19.4444444444444" customWidth="1"/>
    <col min="4" max="4" width="64.1111111111111" customWidth="1"/>
  </cols>
  <sheetData>
    <row r="1" spans="1:4">
      <c r="A1" s="32" t="s">
        <v>214</v>
      </c>
      <c r="B1" s="32" t="s">
        <v>215</v>
      </c>
      <c r="C1" s="32" t="s">
        <v>216</v>
      </c>
      <c r="D1" s="32" t="s">
        <v>217</v>
      </c>
    </row>
    <row r="2" ht="28.8" spans="1:4">
      <c r="A2" s="3">
        <v>1</v>
      </c>
      <c r="B2" s="3" t="s">
        <v>218</v>
      </c>
      <c r="C2" s="3"/>
      <c r="D2" s="3" t="s">
        <v>219</v>
      </c>
    </row>
    <row r="3" ht="43.2" spans="1:4">
      <c r="A3" s="3">
        <v>2</v>
      </c>
      <c r="B3" s="3" t="s">
        <v>220</v>
      </c>
      <c r="C3" s="3"/>
      <c r="D3" s="3" t="s">
        <v>221</v>
      </c>
    </row>
    <row r="4" ht="28.8" spans="1:4">
      <c r="A4" s="3">
        <v>3</v>
      </c>
      <c r="B4" s="3" t="s">
        <v>222</v>
      </c>
      <c r="C4" s="3"/>
      <c r="D4" s="3" t="s">
        <v>223</v>
      </c>
    </row>
    <row r="5" ht="28.8" spans="1:4">
      <c r="A5" s="3">
        <v>4</v>
      </c>
      <c r="B5" s="3" t="s">
        <v>224</v>
      </c>
      <c r="C5" s="3"/>
      <c r="D5" s="3" t="s">
        <v>225</v>
      </c>
    </row>
    <row r="6" ht="28.8" spans="1:4">
      <c r="A6" s="3">
        <v>5</v>
      </c>
      <c r="B6" s="3" t="s">
        <v>226</v>
      </c>
      <c r="C6" s="3"/>
      <c r="D6" s="3"/>
    </row>
    <row r="7" ht="28.8" spans="1:4">
      <c r="A7" s="3">
        <v>6</v>
      </c>
      <c r="B7" s="3" t="s">
        <v>227</v>
      </c>
      <c r="C7" s="3"/>
      <c r="D7" s="3" t="s">
        <v>228</v>
      </c>
    </row>
    <row r="8" spans="1:4">
      <c r="A8" s="3">
        <v>7</v>
      </c>
      <c r="B8" s="3" t="s">
        <v>229</v>
      </c>
      <c r="C8" s="3"/>
      <c r="D8" s="3" t="s">
        <v>230</v>
      </c>
    </row>
    <row r="9" spans="1:4">
      <c r="A9" s="3">
        <v>8</v>
      </c>
      <c r="B9" s="3" t="s">
        <v>231</v>
      </c>
      <c r="C9" s="3"/>
      <c r="D9" s="3" t="s">
        <v>232</v>
      </c>
    </row>
    <row r="10" spans="1:4">
      <c r="A10" s="3">
        <v>9</v>
      </c>
      <c r="B10" s="3" t="s">
        <v>233</v>
      </c>
      <c r="C10" s="3"/>
      <c r="D10" s="3" t="s">
        <v>234</v>
      </c>
    </row>
    <row r="11" spans="1:4">
      <c r="A11" s="3">
        <v>10</v>
      </c>
      <c r="B11" s="3" t="s">
        <v>235</v>
      </c>
      <c r="C11" s="3"/>
      <c r="D11" s="3" t="s">
        <v>236</v>
      </c>
    </row>
    <row r="12" spans="1:4">
      <c r="A12" s="3">
        <v>11</v>
      </c>
      <c r="B12" s="3" t="s">
        <v>237</v>
      </c>
      <c r="C12" s="3"/>
      <c r="D12" s="3" t="s">
        <v>238</v>
      </c>
    </row>
    <row r="13" spans="1:4">
      <c r="A13" s="3">
        <v>12</v>
      </c>
      <c r="B13" s="3" t="s">
        <v>239</v>
      </c>
      <c r="C13" s="3"/>
      <c r="D13" s="3" t="s">
        <v>240</v>
      </c>
    </row>
    <row r="14" ht="28.8" spans="1:4">
      <c r="A14" s="3">
        <v>13</v>
      </c>
      <c r="B14" s="3" t="s">
        <v>241</v>
      </c>
      <c r="C14" s="3"/>
      <c r="D14" s="3" t="s">
        <v>242</v>
      </c>
    </row>
    <row r="15" spans="1:4">
      <c r="A15" s="3">
        <v>14</v>
      </c>
      <c r="B15" s="3" t="s">
        <v>243</v>
      </c>
      <c r="C15" s="3"/>
      <c r="D15" s="3" t="s">
        <v>244</v>
      </c>
    </row>
    <row r="16" ht="43.2" spans="1:4">
      <c r="A16" s="3">
        <v>15</v>
      </c>
      <c r="B16" s="3" t="s">
        <v>245</v>
      </c>
      <c r="C16" s="3"/>
      <c r="D16" s="3" t="s">
        <v>246</v>
      </c>
    </row>
    <row r="17" spans="1:4">
      <c r="A17" s="3">
        <v>16</v>
      </c>
      <c r="B17" s="3" t="s">
        <v>247</v>
      </c>
      <c r="C17" s="3"/>
      <c r="D17" s="3" t="s">
        <v>248</v>
      </c>
    </row>
    <row r="18" ht="28.8" spans="1:4">
      <c r="A18" s="3">
        <v>17</v>
      </c>
      <c r="B18" s="3" t="s">
        <v>249</v>
      </c>
      <c r="C18" s="3"/>
      <c r="D18" s="3" t="s">
        <v>250</v>
      </c>
    </row>
    <row r="19" spans="1:4">
      <c r="A19" s="3">
        <v>18</v>
      </c>
      <c r="B19" s="3" t="s">
        <v>251</v>
      </c>
      <c r="C19" s="3"/>
      <c r="D19" s="3"/>
    </row>
    <row r="20" spans="1:4">
      <c r="A20" s="3">
        <v>19</v>
      </c>
      <c r="B20" s="3" t="s">
        <v>252</v>
      </c>
      <c r="C20" s="3"/>
      <c r="D20" s="3" t="s">
        <v>253</v>
      </c>
    </row>
    <row r="21" spans="1:4">
      <c r="A21" s="3">
        <v>20</v>
      </c>
      <c r="B21" s="3" t="s">
        <v>254</v>
      </c>
      <c r="C21" s="3"/>
      <c r="D21" s="3" t="s">
        <v>255</v>
      </c>
    </row>
    <row r="22" spans="1:4">
      <c r="A22" s="3">
        <v>21</v>
      </c>
      <c r="B22" s="3" t="s">
        <v>256</v>
      </c>
      <c r="C22" s="3"/>
      <c r="D22" s="3"/>
    </row>
    <row r="23" spans="1:4">
      <c r="A23" s="3">
        <v>22</v>
      </c>
      <c r="B23" s="3" t="s">
        <v>257</v>
      </c>
      <c r="C23" s="3"/>
      <c r="D23" s="3" t="s">
        <v>258</v>
      </c>
    </row>
    <row r="24" spans="1:4">
      <c r="A24" s="3">
        <v>23</v>
      </c>
      <c r="B24" s="30" t="s">
        <v>259</v>
      </c>
      <c r="C24" s="30"/>
      <c r="D24" s="30"/>
    </row>
    <row r="25" spans="1:4">
      <c r="A25" s="3">
        <v>24</v>
      </c>
      <c r="B25" s="30" t="s">
        <v>260</v>
      </c>
      <c r="C25" s="30"/>
      <c r="D25" s="3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A1" sqref="A1:E43"/>
    </sheetView>
  </sheetViews>
  <sheetFormatPr defaultColWidth="8.88888888888889" defaultRowHeight="14.4" outlineLevelCol="4"/>
  <cols>
    <col min="1" max="1" width="19" customWidth="1"/>
    <col min="2" max="2" width="33.5555555555556" customWidth="1"/>
    <col min="3" max="3" width="39.1111111111111" customWidth="1"/>
    <col min="4" max="4" width="36" customWidth="1"/>
    <col min="5" max="5" width="55.1111111111111" customWidth="1"/>
  </cols>
  <sheetData>
    <row r="1" spans="1:5">
      <c r="A1" s="31" t="s">
        <v>261</v>
      </c>
      <c r="B1" s="31" t="s">
        <v>262</v>
      </c>
      <c r="C1" s="31" t="s">
        <v>263</v>
      </c>
      <c r="D1" s="31" t="s">
        <v>264</v>
      </c>
      <c r="E1" s="31" t="s">
        <v>265</v>
      </c>
    </row>
    <row r="2" spans="1:5">
      <c r="A2" s="2" t="s">
        <v>266</v>
      </c>
      <c r="B2" s="3" t="s">
        <v>267</v>
      </c>
      <c r="C2" s="3" t="s">
        <v>268</v>
      </c>
      <c r="D2" s="3" t="s">
        <v>269</v>
      </c>
      <c r="E2" s="3"/>
    </row>
    <row r="3" spans="1:5">
      <c r="A3" s="4"/>
      <c r="B3" s="3" t="s">
        <v>270</v>
      </c>
      <c r="C3" s="3" t="s">
        <v>271</v>
      </c>
      <c r="D3" s="3"/>
      <c r="E3" s="3"/>
    </row>
    <row r="4" spans="1:5">
      <c r="A4" s="2" t="s">
        <v>272</v>
      </c>
      <c r="B4" s="2" t="s">
        <v>273</v>
      </c>
      <c r="C4" s="3" t="s">
        <v>274</v>
      </c>
      <c r="D4" s="3" t="s">
        <v>275</v>
      </c>
      <c r="E4" s="3" t="s">
        <v>276</v>
      </c>
    </row>
    <row r="5" spans="1:5">
      <c r="A5" s="5"/>
      <c r="B5" s="5"/>
      <c r="C5" s="3" t="s">
        <v>277</v>
      </c>
      <c r="D5" s="3"/>
      <c r="E5" s="3" t="s">
        <v>278</v>
      </c>
    </row>
    <row r="6" spans="1:5">
      <c r="A6" s="5"/>
      <c r="B6" s="4"/>
      <c r="C6" s="3" t="s">
        <v>279</v>
      </c>
      <c r="D6" s="3" t="s">
        <v>280</v>
      </c>
      <c r="E6" s="3" t="s">
        <v>281</v>
      </c>
    </row>
    <row r="7" spans="1:5">
      <c r="A7" s="5"/>
      <c r="B7" s="2" t="s">
        <v>282</v>
      </c>
      <c r="C7" s="3" t="s">
        <v>274</v>
      </c>
      <c r="D7" s="3" t="s">
        <v>283</v>
      </c>
      <c r="E7" s="3" t="s">
        <v>284</v>
      </c>
    </row>
    <row r="8" spans="1:5">
      <c r="A8" s="5"/>
      <c r="B8" s="5"/>
      <c r="C8" s="3" t="s">
        <v>277</v>
      </c>
      <c r="D8" s="3"/>
      <c r="E8" s="3" t="s">
        <v>285</v>
      </c>
    </row>
    <row r="9" spans="1:5">
      <c r="A9" s="5"/>
      <c r="B9" s="4"/>
      <c r="C9" s="3" t="s">
        <v>286</v>
      </c>
      <c r="D9" s="3" t="s">
        <v>287</v>
      </c>
      <c r="E9" s="3" t="s">
        <v>288</v>
      </c>
    </row>
    <row r="10" spans="1:5">
      <c r="A10" s="5"/>
      <c r="B10" s="2" t="s">
        <v>289</v>
      </c>
      <c r="C10" s="3" t="s">
        <v>290</v>
      </c>
      <c r="D10" s="3" t="s">
        <v>291</v>
      </c>
      <c r="E10" s="3" t="s">
        <v>292</v>
      </c>
    </row>
    <row r="11" spans="1:5">
      <c r="A11" s="4"/>
      <c r="B11" s="4"/>
      <c r="C11" s="3" t="s">
        <v>293</v>
      </c>
      <c r="D11" s="3" t="s">
        <v>294</v>
      </c>
      <c r="E11" s="3" t="s">
        <v>295</v>
      </c>
    </row>
    <row r="12" spans="1:5">
      <c r="A12" s="2" t="s">
        <v>296</v>
      </c>
      <c r="B12" s="2" t="s">
        <v>297</v>
      </c>
      <c r="C12" s="3" t="s">
        <v>298</v>
      </c>
      <c r="D12" s="3" t="s">
        <v>299</v>
      </c>
      <c r="E12" s="3" t="s">
        <v>300</v>
      </c>
    </row>
    <row r="13" spans="1:5">
      <c r="A13" s="5"/>
      <c r="B13" s="5"/>
      <c r="C13" s="3" t="s">
        <v>277</v>
      </c>
      <c r="D13" s="3"/>
      <c r="E13" s="3" t="s">
        <v>301</v>
      </c>
    </row>
    <row r="14" spans="1:5">
      <c r="A14" s="5"/>
      <c r="B14" s="4"/>
      <c r="C14" s="3" t="s">
        <v>302</v>
      </c>
      <c r="D14" s="3"/>
      <c r="E14" s="3" t="s">
        <v>303</v>
      </c>
    </row>
    <row r="15" spans="1:5">
      <c r="A15" s="5"/>
      <c r="B15" s="2" t="s">
        <v>304</v>
      </c>
      <c r="C15" s="3" t="s">
        <v>2</v>
      </c>
      <c r="D15" s="3" t="s">
        <v>305</v>
      </c>
      <c r="E15" s="3" t="s">
        <v>306</v>
      </c>
    </row>
    <row r="16" spans="1:5">
      <c r="A16" s="5"/>
      <c r="B16" s="5"/>
      <c r="C16" s="3" t="s">
        <v>277</v>
      </c>
      <c r="D16" s="3"/>
      <c r="E16" s="3" t="s">
        <v>307</v>
      </c>
    </row>
    <row r="17" spans="1:5">
      <c r="A17" s="5"/>
      <c r="B17" s="4"/>
      <c r="C17" s="3" t="s">
        <v>302</v>
      </c>
      <c r="D17" s="3"/>
      <c r="E17" s="3" t="s">
        <v>308</v>
      </c>
    </row>
    <row r="18" spans="1:5">
      <c r="A18" s="5"/>
      <c r="B18" s="2" t="s">
        <v>48</v>
      </c>
      <c r="C18" s="3" t="s">
        <v>309</v>
      </c>
      <c r="D18" s="3" t="s">
        <v>310</v>
      </c>
      <c r="E18" s="3" t="s">
        <v>311</v>
      </c>
    </row>
    <row r="19" spans="1:5">
      <c r="A19" s="5"/>
      <c r="B19" s="5"/>
      <c r="C19" s="3" t="s">
        <v>277</v>
      </c>
      <c r="D19" s="3"/>
      <c r="E19" s="3" t="s">
        <v>301</v>
      </c>
    </row>
    <row r="20" spans="1:5">
      <c r="A20" s="4"/>
      <c r="B20" s="4"/>
      <c r="C20" s="3" t="s">
        <v>302</v>
      </c>
      <c r="D20" s="3"/>
      <c r="E20" s="3" t="s">
        <v>303</v>
      </c>
    </row>
    <row r="21" spans="1:5">
      <c r="A21" s="2" t="s">
        <v>312</v>
      </c>
      <c r="B21" s="2" t="s">
        <v>313</v>
      </c>
      <c r="C21" s="3" t="s">
        <v>314</v>
      </c>
      <c r="D21" s="3" t="s">
        <v>315</v>
      </c>
      <c r="E21" s="3" t="s">
        <v>316</v>
      </c>
    </row>
    <row r="22" spans="1:5">
      <c r="A22" s="5"/>
      <c r="B22" s="5"/>
      <c r="C22" s="3" t="s">
        <v>317</v>
      </c>
      <c r="D22" s="3" t="s">
        <v>318</v>
      </c>
      <c r="E22" s="3" t="s">
        <v>319</v>
      </c>
    </row>
    <row r="23" spans="1:5">
      <c r="A23" s="5"/>
      <c r="B23" s="4"/>
      <c r="C23" s="3" t="s">
        <v>314</v>
      </c>
      <c r="D23" s="3" t="s">
        <v>318</v>
      </c>
      <c r="E23" s="3" t="s">
        <v>320</v>
      </c>
    </row>
    <row r="24" spans="1:5">
      <c r="A24" s="5"/>
      <c r="B24" s="2" t="s">
        <v>321</v>
      </c>
      <c r="C24" s="3" t="s">
        <v>314</v>
      </c>
      <c r="D24" s="3" t="s">
        <v>322</v>
      </c>
      <c r="E24" s="3" t="s">
        <v>323</v>
      </c>
    </row>
    <row r="25" spans="1:5">
      <c r="A25" s="5"/>
      <c r="B25" s="5"/>
      <c r="C25" s="3" t="s">
        <v>324</v>
      </c>
      <c r="D25" s="3" t="s">
        <v>325</v>
      </c>
      <c r="E25" s="3" t="s">
        <v>326</v>
      </c>
    </row>
    <row r="26" spans="1:5">
      <c r="A26" s="4"/>
      <c r="B26" s="4"/>
      <c r="C26" s="3" t="s">
        <v>314</v>
      </c>
      <c r="D26" s="3" t="s">
        <v>318</v>
      </c>
      <c r="E26" s="3" t="s">
        <v>320</v>
      </c>
    </row>
    <row r="27" spans="1:5">
      <c r="A27" s="2" t="s">
        <v>327</v>
      </c>
      <c r="B27" s="3" t="s">
        <v>328</v>
      </c>
      <c r="C27" s="3" t="s">
        <v>329</v>
      </c>
      <c r="D27" s="3" t="s">
        <v>315</v>
      </c>
      <c r="E27" s="3" t="s">
        <v>330</v>
      </c>
    </row>
    <row r="28" spans="1:5">
      <c r="A28" s="5"/>
      <c r="B28" s="3" t="s">
        <v>331</v>
      </c>
      <c r="C28" s="3" t="s">
        <v>329</v>
      </c>
      <c r="D28" s="3" t="s">
        <v>332</v>
      </c>
      <c r="E28" s="3" t="s">
        <v>333</v>
      </c>
    </row>
    <row r="29" spans="1:5">
      <c r="A29" s="4"/>
      <c r="B29" s="3" t="s">
        <v>334</v>
      </c>
      <c r="C29" s="3" t="s">
        <v>335</v>
      </c>
      <c r="D29" s="3" t="s">
        <v>332</v>
      </c>
      <c r="E29" s="3" t="s">
        <v>333</v>
      </c>
    </row>
    <row r="30" spans="1:5">
      <c r="A30" s="2" t="s">
        <v>336</v>
      </c>
      <c r="B30" s="3" t="s">
        <v>337</v>
      </c>
      <c r="C30" s="3" t="s">
        <v>338</v>
      </c>
      <c r="D30" s="3" t="s">
        <v>315</v>
      </c>
      <c r="E30" s="3" t="s">
        <v>339</v>
      </c>
    </row>
    <row r="31" spans="1:5">
      <c r="A31" s="5"/>
      <c r="B31" s="3"/>
      <c r="C31" s="3"/>
      <c r="D31" s="3"/>
      <c r="E31" s="3" t="s">
        <v>340</v>
      </c>
    </row>
    <row r="32" spans="1:5">
      <c r="A32" s="5"/>
      <c r="B32" s="3" t="s">
        <v>341</v>
      </c>
      <c r="C32" s="3" t="s">
        <v>342</v>
      </c>
      <c r="D32" s="3" t="s">
        <v>315</v>
      </c>
      <c r="E32" s="3" t="s">
        <v>308</v>
      </c>
    </row>
    <row r="33" spans="1:5">
      <c r="A33" s="5"/>
      <c r="B33" s="3" t="s">
        <v>343</v>
      </c>
      <c r="C33" s="3" t="s">
        <v>343</v>
      </c>
      <c r="D33" s="3" t="s">
        <v>315</v>
      </c>
      <c r="E33" s="3" t="s">
        <v>318</v>
      </c>
    </row>
    <row r="34" spans="1:5">
      <c r="A34" s="5"/>
      <c r="B34" s="3"/>
      <c r="C34" s="3"/>
      <c r="D34" s="3"/>
      <c r="E34" s="3" t="s">
        <v>344</v>
      </c>
    </row>
    <row r="35" spans="1:5">
      <c r="A35" s="4"/>
      <c r="B35" s="3" t="s">
        <v>345</v>
      </c>
      <c r="C35" s="3" t="s">
        <v>346</v>
      </c>
      <c r="D35" s="3" t="s">
        <v>315</v>
      </c>
      <c r="E35" s="3" t="s">
        <v>308</v>
      </c>
    </row>
    <row r="36" spans="1:5">
      <c r="A36" s="2" t="s">
        <v>347</v>
      </c>
      <c r="B36" s="3" t="s">
        <v>348</v>
      </c>
      <c r="C36" s="3"/>
      <c r="D36" s="3"/>
      <c r="E36" s="3" t="s">
        <v>308</v>
      </c>
    </row>
    <row r="37" spans="1:5">
      <c r="A37" s="5"/>
      <c r="B37" s="3" t="s">
        <v>349</v>
      </c>
      <c r="C37" s="3"/>
      <c r="D37" s="3"/>
      <c r="E37" s="3" t="s">
        <v>350</v>
      </c>
    </row>
    <row r="38" spans="1:5">
      <c r="A38" s="5"/>
      <c r="B38" s="3" t="s">
        <v>351</v>
      </c>
      <c r="C38" s="3"/>
      <c r="D38" s="3"/>
      <c r="E38" s="3" t="s">
        <v>308</v>
      </c>
    </row>
    <row r="39" spans="1:5">
      <c r="A39" s="5"/>
      <c r="B39" s="3" t="s">
        <v>352</v>
      </c>
      <c r="C39" s="3"/>
      <c r="D39" s="3" t="s">
        <v>353</v>
      </c>
      <c r="E39" s="3" t="s">
        <v>308</v>
      </c>
    </row>
    <row r="40" spans="1:5">
      <c r="A40" s="5"/>
      <c r="B40" s="3" t="s">
        <v>354</v>
      </c>
      <c r="C40" s="3"/>
      <c r="D40" s="3"/>
      <c r="E40" s="3" t="s">
        <v>308</v>
      </c>
    </row>
    <row r="41" spans="1:5">
      <c r="A41" s="5"/>
      <c r="B41" s="3" t="s">
        <v>355</v>
      </c>
      <c r="C41" s="3" t="s">
        <v>332</v>
      </c>
      <c r="D41" s="3"/>
      <c r="E41" s="3" t="s">
        <v>308</v>
      </c>
    </row>
    <row r="42" spans="1:5">
      <c r="A42" s="5"/>
      <c r="B42" s="3" t="s">
        <v>356</v>
      </c>
      <c r="C42" s="3" t="s">
        <v>357</v>
      </c>
      <c r="D42" s="3" t="s">
        <v>332</v>
      </c>
      <c r="E42" s="3" t="s">
        <v>308</v>
      </c>
    </row>
    <row r="43" spans="1:5">
      <c r="A43" s="4"/>
      <c r="B43" s="3"/>
      <c r="C43" s="3" t="s">
        <v>358</v>
      </c>
      <c r="D43" s="3" t="s">
        <v>332</v>
      </c>
      <c r="E43" s="3" t="s">
        <v>308</v>
      </c>
    </row>
  </sheetData>
  <mergeCells count="15">
    <mergeCell ref="A2:A3"/>
    <mergeCell ref="A4:A11"/>
    <mergeCell ref="A12:A20"/>
    <mergeCell ref="A21:A26"/>
    <mergeCell ref="A27:A29"/>
    <mergeCell ref="A30:A35"/>
    <mergeCell ref="A36:A43"/>
    <mergeCell ref="B4:B6"/>
    <mergeCell ref="B7:B9"/>
    <mergeCell ref="B10:B11"/>
    <mergeCell ref="B12:B14"/>
    <mergeCell ref="B15:B17"/>
    <mergeCell ref="B18:B20"/>
    <mergeCell ref="B21:B23"/>
    <mergeCell ref="B24:B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L10" sqref="L10"/>
    </sheetView>
  </sheetViews>
  <sheetFormatPr defaultColWidth="9" defaultRowHeight="14.4"/>
  <cols>
    <col min="1" max="1" width="17" customWidth="1"/>
    <col min="2" max="2" width="18.4444444444444" customWidth="1"/>
    <col min="6" max="6" width="16.3333333333333" customWidth="1"/>
    <col min="7" max="7" width="10.2222222222222" customWidth="1"/>
    <col min="8" max="8" width="21.1111111111111" customWidth="1"/>
    <col min="9" max="9" width="24.1111111111111" customWidth="1"/>
  </cols>
  <sheetData>
    <row r="1" spans="1:9">
      <c r="A1" s="27" t="s">
        <v>359</v>
      </c>
      <c r="B1" s="27" t="s">
        <v>360</v>
      </c>
      <c r="C1" s="27" t="s">
        <v>361</v>
      </c>
      <c r="D1" s="27" t="s">
        <v>362</v>
      </c>
      <c r="E1" s="27" t="s">
        <v>363</v>
      </c>
      <c r="F1" s="27" t="s">
        <v>364</v>
      </c>
      <c r="G1" s="27" t="s">
        <v>365</v>
      </c>
      <c r="H1" s="27" t="s">
        <v>366</v>
      </c>
      <c r="I1" s="27" t="s">
        <v>367</v>
      </c>
    </row>
    <row r="2" spans="1:9">
      <c r="A2" s="28" t="s">
        <v>33</v>
      </c>
      <c r="B2" s="29" t="s">
        <v>368</v>
      </c>
      <c r="C2" s="29">
        <v>2400</v>
      </c>
      <c r="D2" s="29">
        <v>3750</v>
      </c>
      <c r="E2" s="29">
        <v>350</v>
      </c>
      <c r="F2" s="29">
        <v>9</v>
      </c>
      <c r="G2" s="29" t="s">
        <v>369</v>
      </c>
      <c r="H2" s="29">
        <v>780</v>
      </c>
      <c r="I2" s="29">
        <f t="shared" ref="I2:I48" si="0">H2*F2</f>
        <v>7020</v>
      </c>
    </row>
    <row r="3" spans="1:9">
      <c r="A3" s="28"/>
      <c r="B3" s="30" t="s">
        <v>370</v>
      </c>
      <c r="C3" s="29">
        <v>1132</v>
      </c>
      <c r="D3" s="29">
        <v>1949</v>
      </c>
      <c r="E3" s="29">
        <v>18</v>
      </c>
      <c r="F3" s="29">
        <v>2.21</v>
      </c>
      <c r="G3" s="29" t="s">
        <v>369</v>
      </c>
      <c r="H3" s="29">
        <v>100</v>
      </c>
      <c r="I3" s="29">
        <f t="shared" si="0"/>
        <v>221</v>
      </c>
    </row>
    <row r="4" spans="1:9">
      <c r="A4" s="28"/>
      <c r="B4" s="29" t="s">
        <v>371</v>
      </c>
      <c r="C4" s="29"/>
      <c r="D4" s="29"/>
      <c r="E4" s="29"/>
      <c r="F4" s="29">
        <v>2.4</v>
      </c>
      <c r="G4" s="29" t="s">
        <v>372</v>
      </c>
      <c r="H4" s="29">
        <v>600</v>
      </c>
      <c r="I4" s="29">
        <f t="shared" si="0"/>
        <v>1440</v>
      </c>
    </row>
    <row r="5" spans="1:9">
      <c r="A5" s="28"/>
      <c r="B5" s="29" t="s">
        <v>373</v>
      </c>
      <c r="C5" s="29"/>
      <c r="D5" s="29"/>
      <c r="E5" s="29"/>
      <c r="F5" s="29">
        <v>10</v>
      </c>
      <c r="G5" s="29" t="s">
        <v>374</v>
      </c>
      <c r="H5" s="29">
        <v>15</v>
      </c>
      <c r="I5" s="29">
        <f t="shared" si="0"/>
        <v>150</v>
      </c>
    </row>
    <row r="6" spans="1:9">
      <c r="A6" s="28" t="s">
        <v>375</v>
      </c>
      <c r="B6" s="29" t="s">
        <v>368</v>
      </c>
      <c r="C6" s="29">
        <v>2400</v>
      </c>
      <c r="D6" s="29">
        <v>2285</v>
      </c>
      <c r="E6" s="29">
        <v>400</v>
      </c>
      <c r="F6" s="29">
        <v>5.48</v>
      </c>
      <c r="G6" s="29" t="s">
        <v>369</v>
      </c>
      <c r="H6" s="29">
        <v>780</v>
      </c>
      <c r="I6" s="29">
        <f t="shared" si="0"/>
        <v>4274.4</v>
      </c>
    </row>
    <row r="7" spans="1:9">
      <c r="A7" s="28"/>
      <c r="B7" s="29" t="s">
        <v>370</v>
      </c>
      <c r="C7" s="29"/>
      <c r="D7" s="29"/>
      <c r="E7" s="29"/>
      <c r="F7" s="29">
        <v>1.76</v>
      </c>
      <c r="G7" s="29" t="s">
        <v>369</v>
      </c>
      <c r="H7" s="29">
        <v>100</v>
      </c>
      <c r="I7" s="29">
        <f t="shared" si="0"/>
        <v>176</v>
      </c>
    </row>
    <row r="8" spans="1:9">
      <c r="A8" s="28"/>
      <c r="B8" s="29" t="s">
        <v>376</v>
      </c>
      <c r="C8" s="29"/>
      <c r="D8" s="29"/>
      <c r="E8" s="29"/>
      <c r="F8" s="29">
        <v>2</v>
      </c>
      <c r="G8" s="29" t="s">
        <v>374</v>
      </c>
      <c r="H8" s="29">
        <v>180</v>
      </c>
      <c r="I8" s="29">
        <f t="shared" si="0"/>
        <v>360</v>
      </c>
    </row>
    <row r="9" spans="1:9">
      <c r="A9" s="28"/>
      <c r="B9" s="29" t="s">
        <v>328</v>
      </c>
      <c r="C9" s="29">
        <v>950</v>
      </c>
      <c r="D9" s="29">
        <v>400</v>
      </c>
      <c r="E9" s="29">
        <v>18</v>
      </c>
      <c r="F9" s="29">
        <v>0.38</v>
      </c>
      <c r="G9" s="29" t="s">
        <v>372</v>
      </c>
      <c r="H9" s="29">
        <v>238</v>
      </c>
      <c r="I9" s="29">
        <f t="shared" si="0"/>
        <v>90.44</v>
      </c>
    </row>
    <row r="10" spans="1:9">
      <c r="A10" s="28"/>
      <c r="B10" s="29" t="s">
        <v>377</v>
      </c>
      <c r="C10" s="29">
        <v>1000</v>
      </c>
      <c r="D10" s="29">
        <v>400</v>
      </c>
      <c r="E10" s="29">
        <v>18</v>
      </c>
      <c r="F10" s="29">
        <v>0.4</v>
      </c>
      <c r="G10" s="29" t="s">
        <v>369</v>
      </c>
      <c r="H10" s="29">
        <v>238</v>
      </c>
      <c r="I10" s="29">
        <f t="shared" si="0"/>
        <v>95.2</v>
      </c>
    </row>
    <row r="11" spans="1:9">
      <c r="A11" s="28"/>
      <c r="B11" s="29" t="s">
        <v>378</v>
      </c>
      <c r="C11" s="29"/>
      <c r="D11" s="29"/>
      <c r="E11" s="29"/>
      <c r="F11" s="29">
        <v>10</v>
      </c>
      <c r="G11" s="29" t="s">
        <v>372</v>
      </c>
      <c r="H11" s="29">
        <v>45</v>
      </c>
      <c r="I11" s="29">
        <f t="shared" si="0"/>
        <v>450</v>
      </c>
    </row>
    <row r="12" spans="1:9">
      <c r="A12" s="28"/>
      <c r="B12" s="29" t="s">
        <v>379</v>
      </c>
      <c r="C12" s="29"/>
      <c r="D12" s="29"/>
      <c r="E12" s="29"/>
      <c r="F12" s="29">
        <v>1.69</v>
      </c>
      <c r="G12" s="29" t="s">
        <v>372</v>
      </c>
      <c r="H12" s="29">
        <v>58</v>
      </c>
      <c r="I12" s="29">
        <f t="shared" si="0"/>
        <v>98.02</v>
      </c>
    </row>
    <row r="13" spans="1:9">
      <c r="A13" s="28"/>
      <c r="B13" s="29" t="s">
        <v>380</v>
      </c>
      <c r="C13" s="29"/>
      <c r="D13" s="29"/>
      <c r="E13" s="29"/>
      <c r="F13" s="29">
        <v>1</v>
      </c>
      <c r="G13" s="29" t="s">
        <v>381</v>
      </c>
      <c r="H13" s="29">
        <v>120</v>
      </c>
      <c r="I13" s="29">
        <f t="shared" si="0"/>
        <v>120</v>
      </c>
    </row>
    <row r="14" spans="1:9">
      <c r="A14" s="28"/>
      <c r="B14" s="29" t="s">
        <v>382</v>
      </c>
      <c r="C14" s="29"/>
      <c r="D14" s="29"/>
      <c r="E14" s="29"/>
      <c r="F14" s="29">
        <v>1</v>
      </c>
      <c r="G14" s="29" t="s">
        <v>383</v>
      </c>
      <c r="H14" s="29">
        <v>30</v>
      </c>
      <c r="I14" s="29">
        <f t="shared" si="0"/>
        <v>30</v>
      </c>
    </row>
    <row r="15" spans="1:9">
      <c r="A15" s="28" t="s">
        <v>60</v>
      </c>
      <c r="B15" s="29" t="s">
        <v>368</v>
      </c>
      <c r="C15" s="29">
        <v>2300</v>
      </c>
      <c r="D15" s="29">
        <v>1820</v>
      </c>
      <c r="E15" s="29">
        <v>400</v>
      </c>
      <c r="F15" s="29">
        <v>4.19</v>
      </c>
      <c r="G15" s="29" t="s">
        <v>369</v>
      </c>
      <c r="H15" s="29">
        <v>780</v>
      </c>
      <c r="I15" s="29">
        <f t="shared" si="0"/>
        <v>3268.2</v>
      </c>
    </row>
    <row r="16" spans="1:9">
      <c r="A16" s="28"/>
      <c r="B16" s="29" t="s">
        <v>370</v>
      </c>
      <c r="C16" s="29">
        <v>500</v>
      </c>
      <c r="D16" s="29">
        <v>1710</v>
      </c>
      <c r="E16" s="29">
        <v>18</v>
      </c>
      <c r="F16" s="29">
        <v>0.86</v>
      </c>
      <c r="G16" s="29" t="s">
        <v>369</v>
      </c>
      <c r="H16" s="29">
        <v>80</v>
      </c>
      <c r="I16" s="29">
        <f t="shared" si="0"/>
        <v>68.8</v>
      </c>
    </row>
    <row r="17" spans="1:9">
      <c r="A17" s="28"/>
      <c r="B17" s="29" t="s">
        <v>328</v>
      </c>
      <c r="C17" s="29">
        <v>1000</v>
      </c>
      <c r="D17" s="29">
        <v>400</v>
      </c>
      <c r="E17" s="29"/>
      <c r="F17" s="29">
        <v>0.8</v>
      </c>
      <c r="G17" s="29" t="s">
        <v>369</v>
      </c>
      <c r="H17" s="29">
        <v>238</v>
      </c>
      <c r="I17" s="29">
        <f t="shared" si="0"/>
        <v>190.4</v>
      </c>
    </row>
    <row r="18" spans="1:9">
      <c r="A18" s="28"/>
      <c r="B18" s="29" t="s">
        <v>376</v>
      </c>
      <c r="C18" s="29"/>
      <c r="D18" s="29"/>
      <c r="E18" s="29"/>
      <c r="F18" s="29">
        <v>2</v>
      </c>
      <c r="G18" s="29" t="s">
        <v>372</v>
      </c>
      <c r="H18" s="29">
        <v>180</v>
      </c>
      <c r="I18" s="29">
        <f t="shared" si="0"/>
        <v>360</v>
      </c>
    </row>
    <row r="19" spans="1:9">
      <c r="A19" s="28"/>
      <c r="B19" s="29" t="s">
        <v>378</v>
      </c>
      <c r="C19" s="29"/>
      <c r="D19" s="29"/>
      <c r="E19" s="29"/>
      <c r="F19" s="29">
        <v>5</v>
      </c>
      <c r="G19" s="29" t="s">
        <v>374</v>
      </c>
      <c r="H19" s="29">
        <v>45</v>
      </c>
      <c r="I19" s="29">
        <f t="shared" si="0"/>
        <v>225</v>
      </c>
    </row>
    <row r="20" spans="1:9">
      <c r="A20" s="28"/>
      <c r="B20" s="29" t="s">
        <v>379</v>
      </c>
      <c r="C20" s="29"/>
      <c r="D20" s="29"/>
      <c r="E20" s="29"/>
      <c r="F20" s="29">
        <v>1</v>
      </c>
      <c r="G20" s="29" t="s">
        <v>374</v>
      </c>
      <c r="H20" s="29">
        <v>58</v>
      </c>
      <c r="I20" s="29">
        <f t="shared" si="0"/>
        <v>58</v>
      </c>
    </row>
    <row r="21" spans="1:9">
      <c r="A21" s="28"/>
      <c r="B21" s="29" t="s">
        <v>380</v>
      </c>
      <c r="C21" s="29"/>
      <c r="D21" s="29"/>
      <c r="E21" s="29"/>
      <c r="F21" s="29">
        <v>1.71</v>
      </c>
      <c r="G21" s="29" t="s">
        <v>374</v>
      </c>
      <c r="H21" s="29">
        <v>58</v>
      </c>
      <c r="I21" s="29">
        <f t="shared" si="0"/>
        <v>99.18</v>
      </c>
    </row>
    <row r="22" spans="1:9">
      <c r="A22" s="28"/>
      <c r="B22" s="29" t="s">
        <v>384</v>
      </c>
      <c r="C22" s="29">
        <v>3</v>
      </c>
      <c r="D22" s="29"/>
      <c r="E22" s="29"/>
      <c r="F22" s="29">
        <v>3</v>
      </c>
      <c r="G22" s="29" t="s">
        <v>374</v>
      </c>
      <c r="H22" s="29">
        <v>30</v>
      </c>
      <c r="I22" s="29">
        <f t="shared" si="0"/>
        <v>90</v>
      </c>
    </row>
    <row r="23" spans="1:9">
      <c r="A23" s="28"/>
      <c r="B23" s="29" t="s">
        <v>385</v>
      </c>
      <c r="C23" s="29">
        <v>3</v>
      </c>
      <c r="D23" s="29"/>
      <c r="E23" s="29"/>
      <c r="F23" s="29">
        <v>3</v>
      </c>
      <c r="G23" s="29" t="s">
        <v>386</v>
      </c>
      <c r="H23" s="29">
        <v>58</v>
      </c>
      <c r="I23" s="29">
        <f t="shared" si="0"/>
        <v>174</v>
      </c>
    </row>
    <row r="24" spans="1:9">
      <c r="A24" s="28" t="s">
        <v>387</v>
      </c>
      <c r="B24" s="29" t="s">
        <v>368</v>
      </c>
      <c r="C24" s="29">
        <v>2420</v>
      </c>
      <c r="D24" s="29">
        <v>5050</v>
      </c>
      <c r="E24" s="29">
        <v>600</v>
      </c>
      <c r="F24" s="29">
        <v>12.22</v>
      </c>
      <c r="G24" s="29" t="s">
        <v>369</v>
      </c>
      <c r="H24" s="29">
        <v>780</v>
      </c>
      <c r="I24" s="29">
        <f t="shared" si="0"/>
        <v>9531.6</v>
      </c>
    </row>
    <row r="25" spans="1:9">
      <c r="A25" s="28"/>
      <c r="B25" s="29" t="s">
        <v>384</v>
      </c>
      <c r="C25" s="29"/>
      <c r="D25" s="29"/>
      <c r="E25" s="29"/>
      <c r="F25" s="29">
        <v>5</v>
      </c>
      <c r="G25" s="29" t="s">
        <v>374</v>
      </c>
      <c r="H25" s="29">
        <v>30</v>
      </c>
      <c r="I25" s="29">
        <f t="shared" si="0"/>
        <v>150</v>
      </c>
    </row>
    <row r="26" spans="1:9">
      <c r="A26" s="28"/>
      <c r="B26" s="29" t="s">
        <v>388</v>
      </c>
      <c r="C26" s="29"/>
      <c r="D26" s="29"/>
      <c r="E26" s="29"/>
      <c r="F26" s="29">
        <v>5</v>
      </c>
      <c r="G26" s="29" t="s">
        <v>386</v>
      </c>
      <c r="H26" s="29">
        <v>68</v>
      </c>
      <c r="I26" s="29">
        <f t="shared" si="0"/>
        <v>340</v>
      </c>
    </row>
    <row r="27" spans="1:9">
      <c r="A27" s="28"/>
      <c r="B27" s="29" t="s">
        <v>389</v>
      </c>
      <c r="C27" s="29"/>
      <c r="D27" s="29"/>
      <c r="E27" s="29"/>
      <c r="F27" s="29">
        <v>1</v>
      </c>
      <c r="G27" s="29" t="s">
        <v>374</v>
      </c>
      <c r="H27" s="29">
        <v>150</v>
      </c>
      <c r="I27" s="29">
        <f t="shared" si="0"/>
        <v>150</v>
      </c>
    </row>
    <row r="28" spans="1:9">
      <c r="A28" s="28" t="s">
        <v>390</v>
      </c>
      <c r="B28" s="29" t="s">
        <v>368</v>
      </c>
      <c r="C28" s="29">
        <v>950</v>
      </c>
      <c r="D28" s="29">
        <v>2905</v>
      </c>
      <c r="E28" s="29">
        <v>350</v>
      </c>
      <c r="F28" s="29">
        <v>2.91</v>
      </c>
      <c r="G28" s="29" t="s">
        <v>369</v>
      </c>
      <c r="H28" s="29">
        <v>780</v>
      </c>
      <c r="I28" s="29">
        <f t="shared" si="0"/>
        <v>2269.8</v>
      </c>
    </row>
    <row r="29" spans="1:9">
      <c r="A29" s="28"/>
      <c r="B29" s="29"/>
      <c r="C29" s="29">
        <v>800</v>
      </c>
      <c r="D29" s="29">
        <v>2904</v>
      </c>
      <c r="E29" s="29">
        <v>350</v>
      </c>
      <c r="F29" s="29">
        <v>2.9</v>
      </c>
      <c r="G29" s="29" t="s">
        <v>369</v>
      </c>
      <c r="H29" s="29">
        <v>780</v>
      </c>
      <c r="I29" s="29">
        <f t="shared" si="0"/>
        <v>2262</v>
      </c>
    </row>
    <row r="30" spans="1:9">
      <c r="A30" s="28"/>
      <c r="B30" s="29" t="s">
        <v>370</v>
      </c>
      <c r="C30" s="29">
        <v>775</v>
      </c>
      <c r="D30" s="29">
        <v>1166</v>
      </c>
      <c r="E30" s="29">
        <v>18</v>
      </c>
      <c r="F30" s="29">
        <v>1.81</v>
      </c>
      <c r="G30" s="29" t="s">
        <v>369</v>
      </c>
      <c r="H30" s="29">
        <v>80</v>
      </c>
      <c r="I30" s="29">
        <f t="shared" si="0"/>
        <v>144.8</v>
      </c>
    </row>
    <row r="31" spans="1:9">
      <c r="A31" s="28"/>
      <c r="B31" s="29" t="s">
        <v>328</v>
      </c>
      <c r="C31" s="29">
        <v>145</v>
      </c>
      <c r="D31" s="29"/>
      <c r="E31" s="29">
        <v>350</v>
      </c>
      <c r="F31" s="29">
        <v>0.26</v>
      </c>
      <c r="G31" s="29" t="s">
        <v>369</v>
      </c>
      <c r="H31" s="29">
        <v>238</v>
      </c>
      <c r="I31" s="29">
        <f t="shared" si="0"/>
        <v>61.88</v>
      </c>
    </row>
    <row r="32" spans="1:9">
      <c r="A32" s="28"/>
      <c r="B32" s="29"/>
      <c r="C32" s="29">
        <v>900</v>
      </c>
      <c r="D32" s="29">
        <v>350</v>
      </c>
      <c r="E32" s="29">
        <v>18</v>
      </c>
      <c r="F32" s="29">
        <v>0.32</v>
      </c>
      <c r="G32" s="29" t="s">
        <v>369</v>
      </c>
      <c r="H32" s="29">
        <v>238</v>
      </c>
      <c r="I32" s="29">
        <f t="shared" si="0"/>
        <v>76.16</v>
      </c>
    </row>
    <row r="33" spans="1:9">
      <c r="A33" s="28"/>
      <c r="B33" s="29" t="s">
        <v>391</v>
      </c>
      <c r="C33" s="29">
        <v>930</v>
      </c>
      <c r="D33" s="29">
        <v>477</v>
      </c>
      <c r="E33" s="29">
        <v>20</v>
      </c>
      <c r="F33" s="29">
        <v>0.44</v>
      </c>
      <c r="G33" s="29" t="s">
        <v>369</v>
      </c>
      <c r="H33" s="29">
        <v>210</v>
      </c>
      <c r="I33" s="29">
        <f t="shared" si="0"/>
        <v>92.4</v>
      </c>
    </row>
    <row r="34" spans="1:9">
      <c r="A34" s="28"/>
      <c r="B34" s="29" t="s">
        <v>392</v>
      </c>
      <c r="C34" s="29">
        <v>2904</v>
      </c>
      <c r="D34" s="29">
        <v>600</v>
      </c>
      <c r="E34" s="29">
        <v>25</v>
      </c>
      <c r="F34" s="29">
        <v>1.74</v>
      </c>
      <c r="G34" s="29" t="s">
        <v>369</v>
      </c>
      <c r="H34" s="29">
        <v>240</v>
      </c>
      <c r="I34" s="29">
        <f t="shared" si="0"/>
        <v>417.6</v>
      </c>
    </row>
    <row r="35" spans="1:9">
      <c r="A35" s="28" t="s">
        <v>393</v>
      </c>
      <c r="B35" s="28" t="s">
        <v>368</v>
      </c>
      <c r="C35" s="29">
        <v>1500</v>
      </c>
      <c r="D35" s="29">
        <v>2000</v>
      </c>
      <c r="E35" s="29">
        <v>400</v>
      </c>
      <c r="F35" s="29">
        <v>3</v>
      </c>
      <c r="G35" s="29" t="s">
        <v>369</v>
      </c>
      <c r="H35" s="29">
        <v>780</v>
      </c>
      <c r="I35" s="29">
        <f t="shared" si="0"/>
        <v>2340</v>
      </c>
    </row>
    <row r="36" spans="1:9">
      <c r="A36" s="28"/>
      <c r="B36" s="28"/>
      <c r="C36" s="29">
        <v>2650</v>
      </c>
      <c r="D36" s="29">
        <v>1600</v>
      </c>
      <c r="E36" s="29">
        <v>600</v>
      </c>
      <c r="F36" s="29">
        <v>4.24</v>
      </c>
      <c r="G36" s="29" t="s">
        <v>369</v>
      </c>
      <c r="H36" s="29">
        <v>780</v>
      </c>
      <c r="I36" s="29">
        <f t="shared" si="0"/>
        <v>3307.2</v>
      </c>
    </row>
    <row r="37" spans="1:9">
      <c r="A37" s="28"/>
      <c r="B37" s="28"/>
      <c r="C37" s="29">
        <v>780</v>
      </c>
      <c r="D37" s="29">
        <v>2555</v>
      </c>
      <c r="E37" s="29">
        <v>560</v>
      </c>
      <c r="F37" s="29">
        <v>2.56</v>
      </c>
      <c r="G37" s="29" t="s">
        <v>369</v>
      </c>
      <c r="H37" s="29">
        <v>780</v>
      </c>
      <c r="I37" s="29">
        <f t="shared" si="0"/>
        <v>1996.8</v>
      </c>
    </row>
    <row r="38" spans="1:9">
      <c r="A38" s="28"/>
      <c r="B38" s="29" t="s">
        <v>370</v>
      </c>
      <c r="C38" s="29">
        <v>622</v>
      </c>
      <c r="D38" s="29">
        <v>1005</v>
      </c>
      <c r="E38" s="29">
        <v>18</v>
      </c>
      <c r="F38" s="29">
        <v>0.63</v>
      </c>
      <c r="G38" s="29" t="s">
        <v>369</v>
      </c>
      <c r="H38" s="29">
        <v>80</v>
      </c>
      <c r="I38" s="29">
        <f t="shared" si="0"/>
        <v>50.4</v>
      </c>
    </row>
    <row r="39" spans="1:9">
      <c r="A39" s="28"/>
      <c r="B39" s="29" t="s">
        <v>328</v>
      </c>
      <c r="C39" s="29">
        <v>2650</v>
      </c>
      <c r="D39" s="29">
        <v>600</v>
      </c>
      <c r="E39" s="29">
        <v>18</v>
      </c>
      <c r="F39" s="29">
        <v>1.59</v>
      </c>
      <c r="G39" s="29" t="s">
        <v>369</v>
      </c>
      <c r="H39" s="29">
        <v>378.42</v>
      </c>
      <c r="I39" s="29">
        <f t="shared" si="0"/>
        <v>601.6878</v>
      </c>
    </row>
    <row r="40" spans="1:9">
      <c r="A40" s="28"/>
      <c r="B40" s="29" t="s">
        <v>376</v>
      </c>
      <c r="C40" s="29"/>
      <c r="D40" s="29"/>
      <c r="E40" s="29"/>
      <c r="F40" s="29">
        <v>2.65</v>
      </c>
      <c r="G40" s="29" t="s">
        <v>372</v>
      </c>
      <c r="H40" s="29">
        <v>180</v>
      </c>
      <c r="I40" s="29">
        <f t="shared" si="0"/>
        <v>477</v>
      </c>
    </row>
    <row r="41" spans="1:9">
      <c r="A41" s="28"/>
      <c r="B41" s="29" t="s">
        <v>394</v>
      </c>
      <c r="C41" s="29"/>
      <c r="D41" s="29"/>
      <c r="E41" s="29"/>
      <c r="F41" s="29">
        <v>9</v>
      </c>
      <c r="G41" s="29" t="s">
        <v>374</v>
      </c>
      <c r="H41" s="29">
        <v>15</v>
      </c>
      <c r="I41" s="29">
        <f t="shared" si="0"/>
        <v>135</v>
      </c>
    </row>
    <row r="42" spans="1:9">
      <c r="A42" s="28"/>
      <c r="B42" s="29" t="s">
        <v>395</v>
      </c>
      <c r="C42" s="29"/>
      <c r="D42" s="29"/>
      <c r="E42" s="29"/>
      <c r="F42" s="29">
        <v>2</v>
      </c>
      <c r="G42" s="29" t="s">
        <v>374</v>
      </c>
      <c r="H42" s="29">
        <v>18</v>
      </c>
      <c r="I42" s="29">
        <f t="shared" si="0"/>
        <v>36</v>
      </c>
    </row>
    <row r="43" spans="1:9">
      <c r="A43" s="28" t="s">
        <v>396</v>
      </c>
      <c r="B43" s="29" t="s">
        <v>397</v>
      </c>
      <c r="C43" s="29">
        <v>1150</v>
      </c>
      <c r="D43" s="29">
        <v>3790</v>
      </c>
      <c r="E43" s="29">
        <v>18</v>
      </c>
      <c r="F43" s="29">
        <v>4.36</v>
      </c>
      <c r="G43" s="29" t="s">
        <v>369</v>
      </c>
      <c r="H43" s="29">
        <v>238</v>
      </c>
      <c r="I43" s="29">
        <f t="shared" si="0"/>
        <v>1037.68</v>
      </c>
    </row>
    <row r="44" ht="15" customHeight="1" spans="1:9">
      <c r="A44" s="28"/>
      <c r="B44" s="29" t="s">
        <v>379</v>
      </c>
      <c r="C44" s="29"/>
      <c r="D44" s="29"/>
      <c r="E44" s="29"/>
      <c r="F44" s="29">
        <v>3.79</v>
      </c>
      <c r="G44" s="29" t="s">
        <v>372</v>
      </c>
      <c r="H44" s="29">
        <v>58</v>
      </c>
      <c r="I44" s="29">
        <f t="shared" si="0"/>
        <v>219.82</v>
      </c>
    </row>
    <row r="45" spans="1:9">
      <c r="A45" s="28"/>
      <c r="B45" s="29" t="s">
        <v>380</v>
      </c>
      <c r="C45" s="29"/>
      <c r="D45" s="29"/>
      <c r="E45" s="29"/>
      <c r="F45" s="29">
        <v>1</v>
      </c>
      <c r="G45" s="29" t="s">
        <v>381</v>
      </c>
      <c r="H45" s="29">
        <v>120</v>
      </c>
      <c r="I45" s="29">
        <f t="shared" si="0"/>
        <v>120</v>
      </c>
    </row>
    <row r="46" spans="1:9">
      <c r="A46" s="28"/>
      <c r="B46" s="29" t="s">
        <v>398</v>
      </c>
      <c r="C46" s="29">
        <v>1150</v>
      </c>
      <c r="D46" s="29">
        <v>3790</v>
      </c>
      <c r="E46" s="29">
        <v>18</v>
      </c>
      <c r="F46" s="29">
        <v>4.36</v>
      </c>
      <c r="G46" s="29" t="s">
        <v>372</v>
      </c>
      <c r="H46" s="29">
        <v>168</v>
      </c>
      <c r="I46" s="29">
        <f t="shared" si="0"/>
        <v>732.48</v>
      </c>
    </row>
    <row r="47" spans="1:9">
      <c r="A47" s="28"/>
      <c r="B47" s="29" t="s">
        <v>399</v>
      </c>
      <c r="C47" s="29"/>
      <c r="D47" s="29"/>
      <c r="E47" s="29"/>
      <c r="F47" s="29">
        <v>4.6</v>
      </c>
      <c r="G47" s="29" t="s">
        <v>372</v>
      </c>
      <c r="H47" s="29">
        <v>20</v>
      </c>
      <c r="I47" s="29">
        <f t="shared" si="0"/>
        <v>92</v>
      </c>
    </row>
    <row r="48" spans="1:9">
      <c r="A48" s="28"/>
      <c r="B48" s="29" t="s">
        <v>400</v>
      </c>
      <c r="C48" s="29"/>
      <c r="D48" s="29"/>
      <c r="E48" s="29"/>
      <c r="F48" s="29">
        <v>7</v>
      </c>
      <c r="G48" s="29" t="s">
        <v>374</v>
      </c>
      <c r="H48" s="29">
        <v>100</v>
      </c>
      <c r="I48" s="29">
        <f t="shared" si="0"/>
        <v>700</v>
      </c>
    </row>
    <row r="49" spans="1:9">
      <c r="A49" s="30"/>
      <c r="B49" s="28" t="s">
        <v>401</v>
      </c>
      <c r="C49" s="28"/>
      <c r="D49" s="28"/>
      <c r="E49" s="28"/>
      <c r="F49" s="29">
        <v>47.95</v>
      </c>
      <c r="G49" s="29" t="s">
        <v>372</v>
      </c>
      <c r="H49" s="29"/>
      <c r="I49" s="29"/>
    </row>
    <row r="50" spans="1:9">
      <c r="A50" s="30"/>
      <c r="B50" s="28" t="s">
        <v>402</v>
      </c>
      <c r="C50" s="28"/>
      <c r="D50" s="28"/>
      <c r="E50" s="28"/>
      <c r="F50" s="29"/>
      <c r="G50" s="29"/>
      <c r="H50" s="29"/>
      <c r="I50" s="29">
        <f>SUM(I2:I48)</f>
        <v>46400.9478</v>
      </c>
    </row>
  </sheetData>
  <mergeCells count="12">
    <mergeCell ref="B49:E49"/>
    <mergeCell ref="B50:E50"/>
    <mergeCell ref="A2:A5"/>
    <mergeCell ref="A6:A14"/>
    <mergeCell ref="A15:A23"/>
    <mergeCell ref="A24:A27"/>
    <mergeCell ref="A28:A34"/>
    <mergeCell ref="A35:A42"/>
    <mergeCell ref="A43:A48"/>
    <mergeCell ref="B28:B29"/>
    <mergeCell ref="B31:B32"/>
    <mergeCell ref="B35:B3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8" sqref="A8"/>
    </sheetView>
  </sheetViews>
  <sheetFormatPr defaultColWidth="9" defaultRowHeight="14.4" outlineLevelCol="7"/>
  <cols>
    <col min="1" max="1" width="19.8888888888889" customWidth="1"/>
    <col min="2" max="2" width="13.3333333333333" customWidth="1"/>
    <col min="6" max="8" width="9" style="12"/>
  </cols>
  <sheetData>
    <row r="1" spans="1:8">
      <c r="A1" s="13" t="s">
        <v>403</v>
      </c>
      <c r="B1" s="13" t="s">
        <v>404</v>
      </c>
      <c r="C1" s="13" t="s">
        <v>405</v>
      </c>
      <c r="D1" s="13" t="s">
        <v>406</v>
      </c>
      <c r="E1" s="13" t="s">
        <v>407</v>
      </c>
      <c r="F1" s="14"/>
      <c r="G1" s="14"/>
      <c r="H1" s="14"/>
    </row>
    <row r="2" spans="1:8">
      <c r="A2" s="15" t="s">
        <v>408</v>
      </c>
      <c r="B2" s="16">
        <v>1520</v>
      </c>
      <c r="C2" s="16">
        <v>2.4</v>
      </c>
      <c r="D2" s="16">
        <f>B2*C2/1000</f>
        <v>3.648</v>
      </c>
      <c r="E2" s="17"/>
      <c r="F2" s="18"/>
      <c r="G2" s="18"/>
      <c r="H2" s="19"/>
    </row>
    <row r="3" spans="1:8">
      <c r="A3" s="15" t="s">
        <v>409</v>
      </c>
      <c r="B3" s="16">
        <v>1870</v>
      </c>
      <c r="C3" s="16">
        <v>2.6</v>
      </c>
      <c r="D3" s="16">
        <f>B3*C3/1000</f>
        <v>4.862</v>
      </c>
      <c r="E3" s="17"/>
      <c r="F3" s="18"/>
      <c r="G3" s="18"/>
      <c r="H3" s="19"/>
    </row>
    <row r="4" spans="1:8">
      <c r="A4" s="15" t="s">
        <v>410</v>
      </c>
      <c r="B4" s="16">
        <v>1648</v>
      </c>
      <c r="C4" s="16">
        <v>2.4</v>
      </c>
      <c r="D4" s="16">
        <f>B4*C4/1000</f>
        <v>3.9552</v>
      </c>
      <c r="E4" s="17"/>
      <c r="F4" s="18"/>
      <c r="G4" s="18"/>
      <c r="H4" s="19"/>
    </row>
    <row r="5" spans="1:8">
      <c r="A5" s="20" t="s">
        <v>390</v>
      </c>
      <c r="B5" s="21">
        <v>3020</v>
      </c>
      <c r="C5" s="21">
        <v>2.6</v>
      </c>
      <c r="D5" s="21">
        <f t="shared" ref="D5:D11" si="0">B5*C5/1000</f>
        <v>7.852</v>
      </c>
      <c r="E5" s="22"/>
      <c r="F5" s="18"/>
      <c r="G5" s="18"/>
      <c r="H5" s="19"/>
    </row>
    <row r="6" spans="1:8">
      <c r="A6" s="20" t="s">
        <v>411</v>
      </c>
      <c r="B6" s="21">
        <v>1561</v>
      </c>
      <c r="C6" s="21">
        <v>2.6</v>
      </c>
      <c r="D6" s="21">
        <f t="shared" si="0"/>
        <v>4.0586</v>
      </c>
      <c r="E6" s="22"/>
      <c r="F6" s="18"/>
      <c r="G6" s="18"/>
      <c r="H6" s="19"/>
    </row>
    <row r="7" spans="1:8">
      <c r="A7" s="20" t="s">
        <v>393</v>
      </c>
      <c r="B7" s="21">
        <v>2250</v>
      </c>
      <c r="C7" s="21">
        <v>1.5</v>
      </c>
      <c r="D7" s="21">
        <f t="shared" si="0"/>
        <v>3.375</v>
      </c>
      <c r="E7" s="22"/>
      <c r="F7" s="18"/>
      <c r="G7" s="18"/>
      <c r="H7" s="19"/>
    </row>
    <row r="8" spans="1:8">
      <c r="A8" s="20" t="s">
        <v>387</v>
      </c>
      <c r="B8" s="21">
        <v>5150</v>
      </c>
      <c r="C8" s="21">
        <v>2.4</v>
      </c>
      <c r="D8" s="21">
        <f t="shared" si="0"/>
        <v>12.36</v>
      </c>
      <c r="E8" s="22"/>
      <c r="F8" s="18"/>
      <c r="G8" s="18"/>
      <c r="H8" s="19"/>
    </row>
    <row r="9" spans="1:8">
      <c r="A9" s="20" t="s">
        <v>375</v>
      </c>
      <c r="B9" s="21">
        <v>2320</v>
      </c>
      <c r="C9" s="21">
        <v>2.4</v>
      </c>
      <c r="D9" s="21">
        <f t="shared" si="0"/>
        <v>5.568</v>
      </c>
      <c r="E9" s="22"/>
      <c r="F9" s="18"/>
      <c r="G9" s="18"/>
      <c r="H9" s="19"/>
    </row>
    <row r="10" spans="1:8">
      <c r="A10" s="20" t="s">
        <v>60</v>
      </c>
      <c r="B10" s="21">
        <v>1750</v>
      </c>
      <c r="C10" s="21">
        <v>2.4</v>
      </c>
      <c r="D10" s="21">
        <f t="shared" si="0"/>
        <v>4.2</v>
      </c>
      <c r="E10" s="22"/>
      <c r="F10" s="18"/>
      <c r="G10" s="18"/>
      <c r="H10" s="19"/>
    </row>
    <row r="11" spans="1:8">
      <c r="A11" s="20" t="s">
        <v>33</v>
      </c>
      <c r="B11" s="21">
        <v>3710</v>
      </c>
      <c r="C11" s="21">
        <v>2.4</v>
      </c>
      <c r="D11" s="21">
        <f t="shared" si="0"/>
        <v>8.904</v>
      </c>
      <c r="E11" s="22"/>
      <c r="F11" s="23"/>
      <c r="G11" s="23"/>
      <c r="H11" s="24"/>
    </row>
    <row r="12" spans="1:8">
      <c r="A12" s="25" t="s">
        <v>412</v>
      </c>
      <c r="B12" s="26">
        <f>SUM(B2:B11)</f>
        <v>24799</v>
      </c>
      <c r="C12" s="25"/>
      <c r="D12" s="26">
        <f>SUM(D2:D11)</f>
        <v>58.7828</v>
      </c>
      <c r="E12" s="25"/>
      <c r="F12" s="19"/>
      <c r="G12" s="19"/>
      <c r="H12" s="19"/>
    </row>
  </sheetData>
  <mergeCells count="2">
    <mergeCell ref="E2:E4"/>
    <mergeCell ref="E5:E1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12" sqref="C12"/>
    </sheetView>
  </sheetViews>
  <sheetFormatPr defaultColWidth="8.88888888888889" defaultRowHeight="14.4" outlineLevelCol="3"/>
  <cols>
    <col min="1" max="1" width="16.5555555555556" customWidth="1"/>
    <col min="2" max="2" width="46.3333333333333" customWidth="1"/>
    <col min="3" max="3" width="40.6666666666667" customWidth="1"/>
    <col min="4" max="4" width="33.5555555555556" customWidth="1"/>
  </cols>
  <sheetData>
    <row r="1" ht="20.4" spans="1:4">
      <c r="A1" s="1" t="s">
        <v>261</v>
      </c>
      <c r="B1" s="1" t="s">
        <v>413</v>
      </c>
      <c r="C1" s="1" t="s">
        <v>414</v>
      </c>
      <c r="D1" s="1" t="s">
        <v>407</v>
      </c>
    </row>
    <row r="2" spans="1:4">
      <c r="A2" s="2" t="s">
        <v>415</v>
      </c>
      <c r="B2" s="3" t="s">
        <v>416</v>
      </c>
      <c r="C2" s="3"/>
      <c r="D2" s="3"/>
    </row>
    <row r="3" spans="1:4">
      <c r="A3" s="4"/>
      <c r="B3" s="3" t="s">
        <v>417</v>
      </c>
      <c r="C3" s="3"/>
      <c r="D3" s="3"/>
    </row>
    <row r="4" spans="1:4">
      <c r="A4" s="2" t="s">
        <v>418</v>
      </c>
      <c r="B4" s="3" t="s">
        <v>419</v>
      </c>
      <c r="C4" s="3"/>
      <c r="D4" s="3"/>
    </row>
    <row r="5" spans="1:4">
      <c r="A5" s="5"/>
      <c r="B5" s="6" t="s">
        <v>420</v>
      </c>
      <c r="C5" s="3"/>
      <c r="D5" s="3"/>
    </row>
    <row r="6" ht="43.2" spans="1:4">
      <c r="A6" s="4"/>
      <c r="B6" s="3" t="s">
        <v>421</v>
      </c>
      <c r="C6" s="6" t="s">
        <v>422</v>
      </c>
      <c r="D6" s="3"/>
    </row>
    <row r="7" ht="31.2" spans="1:4">
      <c r="A7" s="2" t="s">
        <v>423</v>
      </c>
      <c r="B7" s="3" t="s">
        <v>424</v>
      </c>
      <c r="C7" s="7" t="s">
        <v>425</v>
      </c>
      <c r="D7" s="3"/>
    </row>
    <row r="8" ht="15.6" spans="1:4">
      <c r="A8" s="4"/>
      <c r="B8" s="3" t="s">
        <v>426</v>
      </c>
      <c r="C8" s="8" t="s">
        <v>427</v>
      </c>
      <c r="D8" s="3"/>
    </row>
    <row r="9" ht="31.2" spans="1:4">
      <c r="A9" s="9" t="s">
        <v>274</v>
      </c>
      <c r="B9" s="3" t="s">
        <v>428</v>
      </c>
      <c r="C9" s="8" t="s">
        <v>429</v>
      </c>
      <c r="D9" s="3"/>
    </row>
    <row r="10" spans="1:4">
      <c r="A10" s="10"/>
      <c r="B10" s="3" t="s">
        <v>430</v>
      </c>
      <c r="C10" s="3" t="s">
        <v>431</v>
      </c>
      <c r="D10" s="3"/>
    </row>
    <row r="11" ht="46.8" spans="1:4">
      <c r="A11" s="11"/>
      <c r="B11" s="3" t="s">
        <v>432</v>
      </c>
      <c r="C11" s="8" t="s">
        <v>433</v>
      </c>
      <c r="D11" s="3"/>
    </row>
    <row r="12" ht="57.6" spans="1:4">
      <c r="A12" s="9" t="s">
        <v>434</v>
      </c>
      <c r="B12" s="3" t="s">
        <v>435</v>
      </c>
      <c r="C12" s="3" t="s">
        <v>436</v>
      </c>
      <c r="D12" s="3"/>
    </row>
    <row r="13" ht="43.2" spans="1:4">
      <c r="A13" s="11"/>
      <c r="B13" s="3" t="s">
        <v>437</v>
      </c>
      <c r="C13" s="3" t="s">
        <v>438</v>
      </c>
      <c r="D13" s="3"/>
    </row>
    <row r="14" ht="31.2" spans="1:4">
      <c r="A14" s="3" t="s">
        <v>439</v>
      </c>
      <c r="B14" s="3" t="s">
        <v>440</v>
      </c>
      <c r="C14" s="8" t="s">
        <v>441</v>
      </c>
      <c r="D14" s="3"/>
    </row>
    <row r="15" ht="31.2" spans="1:4">
      <c r="A15" s="3" t="s">
        <v>442</v>
      </c>
      <c r="B15" s="3" t="s">
        <v>443</v>
      </c>
      <c r="C15" s="8" t="s">
        <v>444</v>
      </c>
      <c r="D15" s="3"/>
    </row>
  </sheetData>
  <mergeCells count="5">
    <mergeCell ref="A2:A3"/>
    <mergeCell ref="A4:A6"/>
    <mergeCell ref="A7:A8"/>
    <mergeCell ref="A9:A11"/>
    <mergeCell ref="A12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全屋收纳设计</vt:lpstr>
      <vt:lpstr>调研表</vt:lpstr>
      <vt:lpstr>费用类型表</vt:lpstr>
      <vt:lpstr>报价表（示例）</vt:lpstr>
      <vt:lpstr>面积计算</vt:lpstr>
      <vt:lpstr>工地调研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C148A4A0BCFA45D690DE65FB2614927A_12</vt:lpwstr>
  </property>
</Properties>
</file>