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全屋收纳设计" sheetId="3" r:id="rId1"/>
    <sheet name="报价表" sheetId="1" r:id="rId2"/>
    <sheet name="面积计算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<sst xmlns="http://schemas.openxmlformats.org/spreadsheetml/2006/main" count="356" uniqueCount="269">
  <si>
    <t>房间</t>
  </si>
  <si>
    <t>区域</t>
  </si>
  <si>
    <t>类型</t>
  </si>
  <si>
    <t>明细</t>
  </si>
  <si>
    <t>设计要求（参考）</t>
  </si>
  <si>
    <t>玄关</t>
  </si>
  <si>
    <t>陈列区</t>
  </si>
  <si>
    <t>出门必备</t>
  </si>
  <si>
    <t>钥匙、门口、护手霜</t>
  </si>
  <si>
    <t>设计开放式台面，高度1.2米左右，便于随手拿取，墙面可安装小挂钩挂钥匙</t>
  </si>
  <si>
    <t>清洁用品</t>
  </si>
  <si>
    <t>纸巾、湿巾、驱蚊液</t>
  </si>
  <si>
    <t>悬挂区</t>
  </si>
  <si>
    <t>服饰</t>
  </si>
  <si>
    <t>外套、帽子、围巾、包袋、雨伞</t>
  </si>
  <si>
    <t>设计挂衣区高度1.8米，下方设计2个抽屉（臭鞋袜），也作为换鞋凳</t>
  </si>
  <si>
    <t>抽屉区</t>
  </si>
  <si>
    <t>日用品</t>
  </si>
  <si>
    <t>购物袋、手电筒</t>
  </si>
  <si>
    <t>设计1层水平抽屉，分类收纳日用品，抽屉内部可加隔板（后期自己买）</t>
  </si>
  <si>
    <t>天气防护</t>
  </si>
  <si>
    <t>防晒用品、口罩</t>
  </si>
  <si>
    <t>鞋柜区</t>
  </si>
  <si>
    <t>上层</t>
  </si>
  <si>
    <t>不常穿，如客拖、换季</t>
  </si>
  <si>
    <t>设计层板高度30-35cm，适合存放鞋盒，可调节高度适应不同鞋型</t>
  </si>
  <si>
    <t>下层开放区</t>
  </si>
  <si>
    <t>常穿，如运动鞋、拖鞋</t>
  </si>
  <si>
    <t>设计2层开放区，高度20-25cm，适合直接摆放常穿鞋，预留插座孔（烘鞋器）</t>
  </si>
  <si>
    <t>护理</t>
  </si>
  <si>
    <t>鞋跟贴、鞋油、鞋刷</t>
  </si>
  <si>
    <t>设计小抽屉或收纳盒，集中存放鞋类护理用品，便于拿取</t>
  </si>
  <si>
    <t>客厅</t>
  </si>
  <si>
    <t>电视柜</t>
  </si>
  <si>
    <t>影音</t>
  </si>
  <si>
    <t>投影仪、音响、机顶盒</t>
  </si>
  <si>
    <t>设计带散热孔的柜体，预留电源插座，内部设隔板放置影音设备</t>
  </si>
  <si>
    <t>沙发区</t>
  </si>
  <si>
    <t>沙发</t>
  </si>
  <si>
    <t>沙发、抱枕、毯子、绿植角</t>
  </si>
  <si>
    <t>设计沙发靠背或底部预留储物空间，抱枕和毯子可折叠存放</t>
  </si>
  <si>
    <t>边几</t>
  </si>
  <si>
    <t>边几、绿植</t>
  </si>
  <si>
    <t>设计带抽屉的边几，便于存放小物件，顶部留空放置绿植</t>
  </si>
  <si>
    <t>茶几</t>
  </si>
  <si>
    <t>台面</t>
  </si>
  <si>
    <t>纸巾、水杯、茶具、花瓶、遥控器、零食、杂志</t>
  </si>
  <si>
    <t>设计带防滑垫的台面，边缘做挡水，抽屉内部分隔收纳小物件</t>
  </si>
  <si>
    <t>抽屉</t>
  </si>
  <si>
    <t>扑克牌、指甲剪、快递刀</t>
  </si>
  <si>
    <t>设计带分隔的抽屉，分类存放小物品，便于查找</t>
  </si>
  <si>
    <t>墙面</t>
  </si>
  <si>
    <t>装饰</t>
  </si>
  <si>
    <t>壁画、挂件、照片</t>
  </si>
  <si>
    <t>设计可调节高度的装饰架，适合不同尺寸的装饰品</t>
  </si>
  <si>
    <t>餐厅</t>
  </si>
  <si>
    <t>餐桌</t>
  </si>
  <si>
    <t>用品</t>
  </si>
  <si>
    <t>花瓶、抽纸、牙签、牙线</t>
  </si>
  <si>
    <t>设计带防滑垫的餐桌，边缘做圆角处理，防止磕碰</t>
  </si>
  <si>
    <t>餐边柜</t>
  </si>
  <si>
    <t>上层柜</t>
  </si>
  <si>
    <t>摆件、酒、茶、药品</t>
  </si>
  <si>
    <t>设计玻璃门柜，便于展示摆件和酒品，层板可调节高度</t>
  </si>
  <si>
    <t>咖啡机、饮水机、茶具</t>
  </si>
  <si>
    <t>设计防滑台面，预留电源插座孔（轨道插座），适合放置小型电器</t>
  </si>
  <si>
    <t>牙签、口香糖、启瓶器</t>
  </si>
  <si>
    <t>设计水平抽屉，分类存放用餐小物件，便于拿取</t>
  </si>
  <si>
    <t>地柜</t>
  </si>
  <si>
    <t>饮用水、纸品、国货</t>
  </si>
  <si>
    <t>设计大容量地柜，适合存放饮用水和纸品，底部不加地板便于清洁</t>
  </si>
  <si>
    <t>厨房</t>
  </si>
  <si>
    <t>吊柜</t>
  </si>
  <si>
    <t>杂粮</t>
  </si>
  <si>
    <t>杂粮、干货、低频使用的调料</t>
  </si>
  <si>
    <t>设计密封式柜体，防止杂粮受潮，层板可调节高度</t>
  </si>
  <si>
    <t>置物架</t>
  </si>
  <si>
    <t>砧板、刀具、锅盖</t>
  </si>
  <si>
    <t>设计带挂钩的置物架，便于悬挂砧板和锅盖，节省空间</t>
  </si>
  <si>
    <t>调料盘</t>
  </si>
  <si>
    <t>高频使用的油盐酱醋</t>
  </si>
  <si>
    <t>设计带防滑垫的调料盘，便于拿取，靠近灶台位置</t>
  </si>
  <si>
    <t>电器区</t>
  </si>
  <si>
    <t>电饭煲、微波炉、烤箱</t>
  </si>
  <si>
    <t>设计带散热孔的电器区，预留电源插座，适合放置小型电器</t>
  </si>
  <si>
    <t>主食</t>
  </si>
  <si>
    <t>米、面</t>
  </si>
  <si>
    <t>设计密封式米箱和面箱，防止受潮和虫蛀</t>
  </si>
  <si>
    <t>餐具</t>
  </si>
  <si>
    <t>餐具、锅具</t>
  </si>
  <si>
    <t>设计带抽屉或转角错层，分类存放餐具，锅具区预留足够高度</t>
  </si>
  <si>
    <t>洗洁精、耗材国货</t>
  </si>
  <si>
    <t>设计带防水隔板的柜体，便于存放清洁用品，靠近水槽位置</t>
  </si>
  <si>
    <t>炊具</t>
  </si>
  <si>
    <t>锅铲、勺子、打蛋器</t>
  </si>
  <si>
    <t>设计带挂钩的抽屉，分类存放炊具，便于拿取</t>
  </si>
  <si>
    <t>清洁工具</t>
  </si>
  <si>
    <t>抹布、刷子、刮皮器</t>
  </si>
  <si>
    <t>设计带挂钩的墙面置物架，便于悬挂清洁工具，靠近水槽位置</t>
  </si>
  <si>
    <t>冰箱</t>
  </si>
  <si>
    <t>冷藏区</t>
  </si>
  <si>
    <t>熟食、生菜、饮品、调料</t>
  </si>
  <si>
    <t>设计可调节温度的冷藏区，分区存放不同食物，保持卫生</t>
  </si>
  <si>
    <t>冷冻区</t>
  </si>
  <si>
    <t>肉类、速冻食品、雪糕</t>
  </si>
  <si>
    <t>设计可调节温度的冷冻区，分区存放不同食物，保持卫生</t>
  </si>
  <si>
    <t>卧室</t>
  </si>
  <si>
    <t>衣柜</t>
  </si>
  <si>
    <t>储物区</t>
  </si>
  <si>
    <t>换季衣物、备用床品</t>
  </si>
  <si>
    <t>设计大容量储物区，适合存放换季衣物和备用床品（上层），层板可调节高度</t>
  </si>
  <si>
    <t>挂衣区</t>
  </si>
  <si>
    <t>长衣、短衣、裤、裙</t>
  </si>
  <si>
    <t>设计尽量多的挂衣区，长衣区高度1.8米，短衣区高度1.2米，裤架高度0.8米</t>
  </si>
  <si>
    <t>内衣、内裤、袜子、配饰</t>
  </si>
  <si>
    <t>设计带分隔的抽屉，分类存放内衣、内裤、袜子和配饰，便于查找</t>
  </si>
  <si>
    <t>层板区</t>
  </si>
  <si>
    <t>包袋、帽子</t>
  </si>
  <si>
    <t>设计层板区，高度30-40cm，适合存放包袋和帽子，可调节高度</t>
  </si>
  <si>
    <t>床头柜</t>
  </si>
  <si>
    <t>床头灯、闹钟、手机充电器、书籍</t>
  </si>
  <si>
    <t>设计带抽屉的床头柜，便于存放睡前用品，顶部留空放置台灯</t>
  </si>
  <si>
    <t>梳妆区</t>
  </si>
  <si>
    <t>化妆品、护肤品、镜子</t>
  </si>
  <si>
    <t>设计带镜子的梳妆柜，抽屉内部分类存放化妆品和护肤品，预留电源插座</t>
  </si>
  <si>
    <t>书房</t>
  </si>
  <si>
    <t>书柜</t>
  </si>
  <si>
    <t>展示区</t>
  </si>
  <si>
    <t>摆件、手办、奖品奖状</t>
  </si>
  <si>
    <t>设计玻璃门展示柜，便于展示摆件和手办，层板可调节高度</t>
  </si>
  <si>
    <t>书籍区</t>
  </si>
  <si>
    <t>文学类、艺术类、儿童类</t>
  </si>
  <si>
    <t>设计带分类标签的书柜，层板可调节高度，适合不同尺寸的书籍</t>
  </si>
  <si>
    <t>地柜层板区</t>
  </si>
  <si>
    <t>游戏机、摄影器材</t>
  </si>
  <si>
    <t>设计带锁的地柜，适合存放贵重物品和电子设备</t>
  </si>
  <si>
    <t>书桌</t>
  </si>
  <si>
    <t>电脑、台灯、笔筒、文件夹</t>
  </si>
  <si>
    <t>设计带抽屉的书桌，便于存放办公用品，桌面预留足够空间</t>
  </si>
  <si>
    <t>文具</t>
  </si>
  <si>
    <t>文具、本子、胶带、手工剪刀</t>
  </si>
  <si>
    <t>设计带分隔的文具抽屉，分类存放文具用品，便于查找</t>
  </si>
  <si>
    <t>小电子</t>
  </si>
  <si>
    <t>U盘、数据线、充电宝</t>
  </si>
  <si>
    <t>设计带充电功能的抽屉，适合存放小电子设备，预留电源插座</t>
  </si>
  <si>
    <t>证件票据</t>
  </si>
  <si>
    <t>证件、票据、纪念品</t>
  </si>
  <si>
    <t>设计带锁的抽屉，适合存放证件和票据，内部加隔板分类</t>
  </si>
  <si>
    <t>儿童房</t>
  </si>
  <si>
    <t>收纳</t>
  </si>
  <si>
    <t>参考卧室收纳+婴儿护理品</t>
  </si>
  <si>
    <t>设计可调节高度的衣柜，适合不同年龄段儿童的衣物，预留婴儿护理品空间</t>
  </si>
  <si>
    <t>睡眠区</t>
  </si>
  <si>
    <t>家具</t>
  </si>
  <si>
    <t>地板床或低矮床</t>
  </si>
  <si>
    <t>设计低矮床，适合儿童上下床，床底可设计储物空间</t>
  </si>
  <si>
    <t>活动区</t>
  </si>
  <si>
    <t>玩具</t>
  </si>
  <si>
    <t>地垫、玩具柜、绘本架</t>
  </si>
  <si>
    <t>设计带滑轮的玩具柜，便于移动，分类存放不同类型的玩具</t>
  </si>
  <si>
    <t>学习区</t>
  </si>
  <si>
    <t>学习</t>
  </si>
  <si>
    <t>阅读角、书架、书桌</t>
  </si>
  <si>
    <t>设计带书架的学习区，适合存放绘本和学习用品，桌面预留足够空间</t>
  </si>
  <si>
    <t>储物间</t>
  </si>
  <si>
    <t>工具区</t>
  </si>
  <si>
    <t>工具</t>
  </si>
  <si>
    <t>五金工具、维修工具</t>
  </si>
  <si>
    <t>设计带挂钩的工具区，便于悬挂工具，分类存放不同类型的工具</t>
  </si>
  <si>
    <t>清洁类</t>
  </si>
  <si>
    <t>清洁</t>
  </si>
  <si>
    <t>吸尘器、洗地机、挂烫机</t>
  </si>
  <si>
    <t>设计无底板的清洁工具收纳区，便于清洁，预留足够高度（≥1.3m)</t>
  </si>
  <si>
    <t>运动类</t>
  </si>
  <si>
    <t>运动</t>
  </si>
  <si>
    <t>球类、滑板车、滑雪、高尔夫</t>
  </si>
  <si>
    <t>设计带挂钩的运动用品收纳区，分类存放不同类型的运动用品</t>
  </si>
  <si>
    <t>大件</t>
  </si>
  <si>
    <t>大件物品</t>
  </si>
  <si>
    <t>自行车、婴儿车、行李箱</t>
  </si>
  <si>
    <t>设计大容量储物区，适合存放大件物品，预留足够高度和宽度</t>
  </si>
  <si>
    <t>浴室</t>
  </si>
  <si>
    <t>镜柜</t>
  </si>
  <si>
    <t>洗漱</t>
  </si>
  <si>
    <t>洗漱用品、护肤品、化妆品</t>
  </si>
  <si>
    <t>设计带防雾镜子的镜柜，内部可调节层板，适合存放洗漱用品</t>
  </si>
  <si>
    <t>洗手液</t>
  </si>
  <si>
    <t>设计防滑台面，边缘做挡水，预留肥皂盒位置</t>
  </si>
  <si>
    <t>厕纸、洗脸巾、卫生巾</t>
  </si>
  <si>
    <t>设计带防水隔板的地柜，分类存放日用品，靠近马桶位置</t>
  </si>
  <si>
    <t>洁厕剂、手套、垃圾袋</t>
  </si>
  <si>
    <t>旅行</t>
  </si>
  <si>
    <t>洗漱包、护肤品小样</t>
  </si>
  <si>
    <t>洗护</t>
  </si>
  <si>
    <t>洗发水、沐浴露</t>
  </si>
  <si>
    <t>淋浴区</t>
  </si>
  <si>
    <t>毛巾</t>
  </si>
  <si>
    <t>搓澡巾、浴巾、浴球</t>
  </si>
  <si>
    <t>设计带挂钩的毛巾架，便于悬挂毛巾和浴球，靠近淋浴区</t>
  </si>
  <si>
    <t>阳台</t>
  </si>
  <si>
    <t>洗晒区</t>
  </si>
  <si>
    <t>洗剂</t>
  </si>
  <si>
    <t>洗衣液、洗衣粉、柔顺剂</t>
  </si>
  <si>
    <t>设计收纳柜，分类存放洗剂</t>
  </si>
  <si>
    <t>晾晒</t>
  </si>
  <si>
    <t>衣架、防风夹、洗衣篮</t>
  </si>
  <si>
    <t>设计脏衣区，预留晾衣架位置</t>
  </si>
  <si>
    <t>休闲区</t>
  </si>
  <si>
    <t>休闲物品</t>
  </si>
  <si>
    <t>绿植、桌椅、茶具、彩灯、灯笼</t>
  </si>
  <si>
    <t>设计带防水隔板的休闲区，适合存放绿植和休闲用品，预留电源插座</t>
  </si>
  <si>
    <t>园艺工具</t>
  </si>
  <si>
    <t>园艺工具、清洁用具、杂物</t>
  </si>
  <si>
    <t>设计带挂钩的园艺工具收纳区，分类存放工具，靠近阳台边缘</t>
  </si>
  <si>
    <t>定制区域</t>
  </si>
  <si>
    <t>部件名称</t>
  </si>
  <si>
    <t>高(H)</t>
  </si>
  <si>
    <t>宽(W)</t>
  </si>
  <si>
    <t>深(D)</t>
  </si>
  <si>
    <t>面积/米/个</t>
  </si>
  <si>
    <t>单位</t>
  </si>
  <si>
    <t>单价(元)（示例）</t>
  </si>
  <si>
    <t>计算金额(元)（示例）</t>
  </si>
  <si>
    <t>柜体+门</t>
  </si>
  <si>
    <t>㎡</t>
  </si>
  <si>
    <t>18背板补差</t>
  </si>
  <si>
    <t>R50成品圆弧</t>
  </si>
  <si>
    <t>m</t>
  </si>
  <si>
    <t>反弹器</t>
  </si>
  <si>
    <t>个</t>
  </si>
  <si>
    <t>鞋柜</t>
  </si>
  <si>
    <t>R38成品圆弧</t>
  </si>
  <si>
    <t>见光板</t>
  </si>
  <si>
    <t>柜体结构</t>
  </si>
  <si>
    <t>45度斜边拉手</t>
  </si>
  <si>
    <t>灯带</t>
  </si>
  <si>
    <t>触摸开关、变压器</t>
  </si>
  <si>
    <t>套</t>
  </si>
  <si>
    <t>R215异形板封边</t>
  </si>
  <si>
    <t>块</t>
  </si>
  <si>
    <t>抽屉超宽</t>
  </si>
  <si>
    <t>拖底抽补差</t>
  </si>
  <si>
    <t>副</t>
  </si>
  <si>
    <t>主卧衣柜</t>
  </si>
  <si>
    <t>底抽补差</t>
  </si>
  <si>
    <t>折叠穿衣镜</t>
  </si>
  <si>
    <t>书房柜</t>
  </si>
  <si>
    <t>铝框玻璃门</t>
  </si>
  <si>
    <t>台面25板补差</t>
  </si>
  <si>
    <t>儿童房榻榻米</t>
  </si>
  <si>
    <t>榻榻米拉手</t>
  </si>
  <si>
    <t>气撑</t>
  </si>
  <si>
    <t>主卧墙板</t>
  </si>
  <si>
    <t>墙板</t>
  </si>
  <si>
    <t>垫条</t>
  </si>
  <si>
    <t>H槽卡槽</t>
  </si>
  <si>
    <t>超抽屉</t>
  </si>
  <si>
    <t>总平方</t>
  </si>
  <si>
    <t>总应收尾款金额</t>
  </si>
  <si>
    <t>名称</t>
  </si>
  <si>
    <t>长度</t>
  </si>
  <si>
    <t>高度</t>
  </si>
  <si>
    <t>面积</t>
  </si>
  <si>
    <t>备注</t>
  </si>
  <si>
    <t>阳台柜</t>
  </si>
  <si>
    <t>次卧衣柜</t>
  </si>
  <si>
    <t>厨房高柜</t>
  </si>
  <si>
    <t>儿童房床头柜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</si>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</sst>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0.5"/>
      <color rgb="FF060607"/>
      <name val="宋体"/>
      <charset val="134"/>
    </font>
    <font>
      <sz val="10.5"/>
      <color rgb="FF060607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4" fillId="4" borderId="1" xfId="0" applyFont="1" applyFill="1" applyBorder="1" applyAlignment="1">
      <alignment horizontal="justify" vertical="center" wrapText="1"/>
    </xf>
    <xf numFmtId="0" fontId="5" fillId="5" borderId="1" xfId="0" applyFont="1" applyFill="1" applyBorder="1" applyAlignment="1">
      <alignment horizontal="justify" vertical="center" wrapText="1"/>
    </xf>
    <xf numFmtId="0" fontId="6" fillId="5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workbookViewId="0">
      <selection activeCell="E63" sqref="E63"/>
    </sheetView>
  </sheetViews>
  <sheetFormatPr defaultColWidth="9" defaultRowHeight="14.4" outlineLevelCol="4"/>
  <cols>
    <col min="3" max="3" width="13.2222222222222" customWidth="1"/>
    <col min="4" max="4" width="43.1111111111111" customWidth="1"/>
    <col min="5" max="5" width="33.4444444444444" style="22" customWidth="1"/>
  </cols>
  <sheetData>
    <row r="1" spans="1: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>
      <c r="A2" s="24" t="s">
        <v>5</v>
      </c>
      <c r="B2" s="25" t="s">
        <v>6</v>
      </c>
      <c r="C2" s="25" t="s">
        <v>7</v>
      </c>
      <c r="D2" s="25" t="s">
        <v>8</v>
      </c>
      <c r="E2" s="26" t="s">
        <v>9</v>
      </c>
    </row>
    <row r="3" ht="33" customHeight="1" spans="1:5">
      <c r="A3" s="24"/>
      <c r="B3" s="25"/>
      <c r="C3" s="25" t="s">
        <v>10</v>
      </c>
      <c r="D3" s="25" t="s">
        <v>11</v>
      </c>
      <c r="E3" s="26"/>
    </row>
    <row r="4" ht="28.8" spans="1:5">
      <c r="A4" s="24"/>
      <c r="B4" s="25" t="s">
        <v>12</v>
      </c>
      <c r="C4" s="25" t="s">
        <v>13</v>
      </c>
      <c r="D4" s="25" t="s">
        <v>14</v>
      </c>
      <c r="E4" s="26" t="s">
        <v>15</v>
      </c>
    </row>
    <row r="5" spans="1:5">
      <c r="A5" s="24"/>
      <c r="B5" s="25" t="s">
        <v>16</v>
      </c>
      <c r="C5" s="25" t="s">
        <v>17</v>
      </c>
      <c r="D5" s="25" t="s">
        <v>18</v>
      </c>
      <c r="E5" s="27" t="s">
        <v>19</v>
      </c>
    </row>
    <row r="6" ht="33" customHeight="1" spans="1:5">
      <c r="A6" s="24"/>
      <c r="B6" s="25"/>
      <c r="C6" s="25" t="s">
        <v>20</v>
      </c>
      <c r="D6" s="25" t="s">
        <v>21</v>
      </c>
      <c r="E6" s="28"/>
    </row>
    <row r="7" ht="28.8" spans="1:5">
      <c r="A7" s="24"/>
      <c r="B7" s="25" t="s">
        <v>22</v>
      </c>
      <c r="C7" s="25" t="s">
        <v>23</v>
      </c>
      <c r="D7" s="25" t="s">
        <v>24</v>
      </c>
      <c r="E7" s="26" t="s">
        <v>25</v>
      </c>
    </row>
    <row r="8" ht="43.2" spans="1:5">
      <c r="A8" s="24"/>
      <c r="B8" s="25"/>
      <c r="C8" s="24" t="s">
        <v>26</v>
      </c>
      <c r="D8" s="25" t="s">
        <v>27</v>
      </c>
      <c r="E8" s="26" t="s">
        <v>28</v>
      </c>
    </row>
    <row r="9" ht="28.8" spans="1:5">
      <c r="A9" s="24"/>
      <c r="B9" s="25"/>
      <c r="C9" s="25" t="s">
        <v>29</v>
      </c>
      <c r="D9" s="25" t="s">
        <v>30</v>
      </c>
      <c r="E9" s="26" t="s">
        <v>31</v>
      </c>
    </row>
    <row r="10" ht="28.8" spans="1:5">
      <c r="A10" s="24" t="s">
        <v>32</v>
      </c>
      <c r="B10" s="25" t="s">
        <v>33</v>
      </c>
      <c r="C10" s="25" t="s">
        <v>34</v>
      </c>
      <c r="D10" s="25" t="s">
        <v>35</v>
      </c>
      <c r="E10" s="26" t="s">
        <v>36</v>
      </c>
    </row>
    <row r="11" ht="28.8" spans="1:5">
      <c r="A11" s="24"/>
      <c r="B11" s="24" t="s">
        <v>37</v>
      </c>
      <c r="C11" s="25" t="s">
        <v>38</v>
      </c>
      <c r="D11" s="25" t="s">
        <v>39</v>
      </c>
      <c r="E11" s="26" t="s">
        <v>40</v>
      </c>
    </row>
    <row r="12" ht="28.8" spans="1:5">
      <c r="A12" s="24"/>
      <c r="B12" s="24"/>
      <c r="C12" s="25" t="s">
        <v>41</v>
      </c>
      <c r="D12" s="25" t="s">
        <v>42</v>
      </c>
      <c r="E12" s="26" t="s">
        <v>43</v>
      </c>
    </row>
    <row r="13" ht="28.8" spans="1:5">
      <c r="A13" s="24"/>
      <c r="B13" s="25" t="s">
        <v>44</v>
      </c>
      <c r="C13" s="25" t="s">
        <v>45</v>
      </c>
      <c r="D13" s="25" t="s">
        <v>46</v>
      </c>
      <c r="E13" s="26" t="s">
        <v>47</v>
      </c>
    </row>
    <row r="14" ht="28.8" spans="1:5">
      <c r="A14" s="24"/>
      <c r="B14" s="25"/>
      <c r="C14" s="25" t="s">
        <v>48</v>
      </c>
      <c r="D14" s="25" t="s">
        <v>49</v>
      </c>
      <c r="E14" s="26" t="s">
        <v>50</v>
      </c>
    </row>
    <row r="15" ht="28.8" spans="1:5">
      <c r="A15" s="24"/>
      <c r="B15" s="25" t="s">
        <v>51</v>
      </c>
      <c r="C15" s="25" t="s">
        <v>52</v>
      </c>
      <c r="D15" s="25" t="s">
        <v>53</v>
      </c>
      <c r="E15" s="26" t="s">
        <v>54</v>
      </c>
    </row>
    <row r="16" ht="28.8" spans="1:5">
      <c r="A16" s="25" t="s">
        <v>55</v>
      </c>
      <c r="B16" s="25" t="s">
        <v>56</v>
      </c>
      <c r="C16" s="25" t="s">
        <v>57</v>
      </c>
      <c r="D16" s="25" t="s">
        <v>58</v>
      </c>
      <c r="E16" s="26" t="s">
        <v>59</v>
      </c>
    </row>
    <row r="17" ht="28.8" spans="1:5">
      <c r="A17" s="25"/>
      <c r="B17" s="25" t="s">
        <v>60</v>
      </c>
      <c r="C17" s="25" t="s">
        <v>61</v>
      </c>
      <c r="D17" s="25" t="s">
        <v>62</v>
      </c>
      <c r="E17" s="26" t="s">
        <v>63</v>
      </c>
    </row>
    <row r="18" ht="28.8" spans="1:5">
      <c r="A18" s="25"/>
      <c r="B18" s="25"/>
      <c r="C18" s="25" t="s">
        <v>45</v>
      </c>
      <c r="D18" s="25" t="s">
        <v>64</v>
      </c>
      <c r="E18" s="26" t="s">
        <v>65</v>
      </c>
    </row>
    <row r="19" ht="28.8" spans="1:5">
      <c r="A19" s="25"/>
      <c r="B19" s="25"/>
      <c r="C19" s="25" t="s">
        <v>48</v>
      </c>
      <c r="D19" s="25" t="s">
        <v>66</v>
      </c>
      <c r="E19" s="26" t="s">
        <v>67</v>
      </c>
    </row>
    <row r="20" ht="28.8" spans="1:5">
      <c r="A20" s="25"/>
      <c r="B20" s="25"/>
      <c r="C20" s="25" t="s">
        <v>68</v>
      </c>
      <c r="D20" s="25" t="s">
        <v>69</v>
      </c>
      <c r="E20" s="26" t="s">
        <v>70</v>
      </c>
    </row>
    <row r="21" ht="28.8" spans="1:5">
      <c r="A21" s="25" t="s">
        <v>71</v>
      </c>
      <c r="B21" s="25" t="s">
        <v>72</v>
      </c>
      <c r="C21" s="25" t="s">
        <v>73</v>
      </c>
      <c r="D21" s="25" t="s">
        <v>74</v>
      </c>
      <c r="E21" s="26" t="s">
        <v>75</v>
      </c>
    </row>
    <row r="22" ht="28.8" spans="1:5">
      <c r="A22" s="25"/>
      <c r="B22" s="25"/>
      <c r="C22" s="25" t="s">
        <v>76</v>
      </c>
      <c r="D22" s="25" t="s">
        <v>77</v>
      </c>
      <c r="E22" s="26" t="s">
        <v>78</v>
      </c>
    </row>
    <row r="23" ht="28.8" spans="1:5">
      <c r="A23" s="25"/>
      <c r="B23" s="25" t="s">
        <v>45</v>
      </c>
      <c r="C23" s="25" t="s">
        <v>79</v>
      </c>
      <c r="D23" s="25" t="s">
        <v>80</v>
      </c>
      <c r="E23" s="26" t="s">
        <v>81</v>
      </c>
    </row>
    <row r="24" ht="28.8" spans="1:5">
      <c r="A24" s="25"/>
      <c r="B24" s="25"/>
      <c r="C24" s="25" t="s">
        <v>82</v>
      </c>
      <c r="D24" s="25" t="s">
        <v>83</v>
      </c>
      <c r="E24" s="26" t="s">
        <v>84</v>
      </c>
    </row>
    <row r="25" ht="28.8" spans="1:5">
      <c r="A25" s="25"/>
      <c r="B25" s="25"/>
      <c r="C25" s="25" t="s">
        <v>85</v>
      </c>
      <c r="D25" s="25" t="s">
        <v>86</v>
      </c>
      <c r="E25" s="26" t="s">
        <v>87</v>
      </c>
    </row>
    <row r="26" ht="28.8" spans="1:5">
      <c r="A26" s="25"/>
      <c r="B26" s="25" t="s">
        <v>68</v>
      </c>
      <c r="C26" s="25" t="s">
        <v>88</v>
      </c>
      <c r="D26" s="25" t="s">
        <v>89</v>
      </c>
      <c r="E26" s="26" t="s">
        <v>90</v>
      </c>
    </row>
    <row r="27" ht="28.8" spans="1:5">
      <c r="A27" s="25"/>
      <c r="B27" s="25"/>
      <c r="C27" s="25" t="s">
        <v>10</v>
      </c>
      <c r="D27" s="25" t="s">
        <v>91</v>
      </c>
      <c r="E27" s="26" t="s">
        <v>92</v>
      </c>
    </row>
    <row r="28" ht="28.8" spans="1:5">
      <c r="A28" s="25"/>
      <c r="B28" s="25"/>
      <c r="C28" s="25" t="s">
        <v>93</v>
      </c>
      <c r="D28" s="25" t="s">
        <v>94</v>
      </c>
      <c r="E28" s="26" t="s">
        <v>95</v>
      </c>
    </row>
    <row r="29" ht="28.8" spans="1:5">
      <c r="A29" s="25"/>
      <c r="B29" s="25" t="s">
        <v>51</v>
      </c>
      <c r="C29" s="25" t="s">
        <v>96</v>
      </c>
      <c r="D29" s="25" t="s">
        <v>97</v>
      </c>
      <c r="E29" s="26" t="s">
        <v>98</v>
      </c>
    </row>
    <row r="30" ht="28.8" spans="1:5">
      <c r="A30" s="25"/>
      <c r="B30" s="25" t="s">
        <v>99</v>
      </c>
      <c r="C30" s="25" t="s">
        <v>100</v>
      </c>
      <c r="D30" s="25" t="s">
        <v>101</v>
      </c>
      <c r="E30" s="26" t="s">
        <v>102</v>
      </c>
    </row>
    <row r="31" ht="28.8" spans="1:5">
      <c r="A31" s="25"/>
      <c r="B31" s="25"/>
      <c r="C31" s="25" t="s">
        <v>103</v>
      </c>
      <c r="D31" s="25" t="s">
        <v>104</v>
      </c>
      <c r="E31" s="26" t="s">
        <v>105</v>
      </c>
    </row>
    <row r="32" ht="43.2" spans="1:5">
      <c r="A32" s="25" t="s">
        <v>106</v>
      </c>
      <c r="B32" s="25" t="s">
        <v>107</v>
      </c>
      <c r="C32" s="25" t="s">
        <v>108</v>
      </c>
      <c r="D32" s="25" t="s">
        <v>109</v>
      </c>
      <c r="E32" s="26" t="s">
        <v>110</v>
      </c>
    </row>
    <row r="33" ht="43.2" spans="1:5">
      <c r="A33" s="25"/>
      <c r="B33" s="25"/>
      <c r="C33" s="25" t="s">
        <v>111</v>
      </c>
      <c r="D33" s="25" t="s">
        <v>112</v>
      </c>
      <c r="E33" s="26" t="s">
        <v>113</v>
      </c>
    </row>
    <row r="34" ht="28.8" spans="1:5">
      <c r="A34" s="25"/>
      <c r="B34" s="25"/>
      <c r="C34" s="25" t="s">
        <v>16</v>
      </c>
      <c r="D34" s="25" t="s">
        <v>114</v>
      </c>
      <c r="E34" s="26" t="s">
        <v>115</v>
      </c>
    </row>
    <row r="35" ht="28.8" spans="1:5">
      <c r="A35" s="25"/>
      <c r="B35" s="25"/>
      <c r="C35" s="25" t="s">
        <v>116</v>
      </c>
      <c r="D35" s="25" t="s">
        <v>117</v>
      </c>
      <c r="E35" s="26" t="s">
        <v>118</v>
      </c>
    </row>
    <row r="36" ht="28.8" spans="1:5">
      <c r="A36" s="25"/>
      <c r="B36" s="25" t="s">
        <v>119</v>
      </c>
      <c r="C36" s="25" t="s">
        <v>57</v>
      </c>
      <c r="D36" s="25" t="s">
        <v>120</v>
      </c>
      <c r="E36" s="26" t="s">
        <v>121</v>
      </c>
    </row>
    <row r="37" ht="28.8" spans="1:5">
      <c r="A37" s="25"/>
      <c r="B37" s="25" t="s">
        <v>122</v>
      </c>
      <c r="C37" s="25" t="s">
        <v>57</v>
      </c>
      <c r="D37" s="25" t="s">
        <v>123</v>
      </c>
      <c r="E37" s="26" t="s">
        <v>124</v>
      </c>
    </row>
    <row r="38" ht="28.8" spans="1:5">
      <c r="A38" s="25" t="s">
        <v>125</v>
      </c>
      <c r="B38" s="25" t="s">
        <v>126</v>
      </c>
      <c r="C38" s="25" t="s">
        <v>127</v>
      </c>
      <c r="D38" s="25" t="s">
        <v>128</v>
      </c>
      <c r="E38" s="26" t="s">
        <v>129</v>
      </c>
    </row>
    <row r="39" ht="28.8" spans="1:5">
      <c r="A39" s="25"/>
      <c r="B39" s="25"/>
      <c r="C39" s="25" t="s">
        <v>130</v>
      </c>
      <c r="D39" s="25" t="s">
        <v>131</v>
      </c>
      <c r="E39" s="26" t="s">
        <v>132</v>
      </c>
    </row>
    <row r="40" ht="28.8" spans="1:5">
      <c r="A40" s="25"/>
      <c r="B40" s="25"/>
      <c r="C40" s="25" t="s">
        <v>133</v>
      </c>
      <c r="D40" s="25" t="s">
        <v>134</v>
      </c>
      <c r="E40" s="26" t="s">
        <v>135</v>
      </c>
    </row>
    <row r="41" ht="28.8" spans="1:5">
      <c r="A41" s="25"/>
      <c r="B41" s="25" t="s">
        <v>136</v>
      </c>
      <c r="C41" s="25" t="s">
        <v>57</v>
      </c>
      <c r="D41" s="25" t="s">
        <v>137</v>
      </c>
      <c r="E41" s="26" t="s">
        <v>138</v>
      </c>
    </row>
    <row r="42" ht="28.8" spans="1:5">
      <c r="A42" s="25"/>
      <c r="B42" s="25"/>
      <c r="C42" s="25" t="s">
        <v>139</v>
      </c>
      <c r="D42" s="25" t="s">
        <v>140</v>
      </c>
      <c r="E42" s="26" t="s">
        <v>141</v>
      </c>
    </row>
    <row r="43" ht="28.8" spans="1:5">
      <c r="A43" s="25"/>
      <c r="B43" s="25"/>
      <c r="C43" s="25" t="s">
        <v>142</v>
      </c>
      <c r="D43" s="25" t="s">
        <v>143</v>
      </c>
      <c r="E43" s="26" t="s">
        <v>144</v>
      </c>
    </row>
    <row r="44" ht="28.8" spans="1:5">
      <c r="A44" s="25"/>
      <c r="B44" s="25"/>
      <c r="C44" s="25" t="s">
        <v>145</v>
      </c>
      <c r="D44" s="25" t="s">
        <v>146</v>
      </c>
      <c r="E44" s="26" t="s">
        <v>147</v>
      </c>
    </row>
    <row r="45" ht="43.2" spans="1:5">
      <c r="A45" s="25" t="s">
        <v>148</v>
      </c>
      <c r="B45" s="25" t="s">
        <v>107</v>
      </c>
      <c r="C45" s="25" t="s">
        <v>149</v>
      </c>
      <c r="D45" s="25" t="s">
        <v>150</v>
      </c>
      <c r="E45" s="26" t="s">
        <v>151</v>
      </c>
    </row>
    <row r="46" ht="28.8" spans="1:5">
      <c r="A46" s="25"/>
      <c r="B46" s="25" t="s">
        <v>152</v>
      </c>
      <c r="C46" s="25" t="s">
        <v>153</v>
      </c>
      <c r="D46" s="25" t="s">
        <v>154</v>
      </c>
      <c r="E46" s="26" t="s">
        <v>155</v>
      </c>
    </row>
    <row r="47" ht="28.8" spans="1:5">
      <c r="A47" s="25"/>
      <c r="B47" s="25" t="s">
        <v>156</v>
      </c>
      <c r="C47" s="25" t="s">
        <v>157</v>
      </c>
      <c r="D47" s="25" t="s">
        <v>158</v>
      </c>
      <c r="E47" s="26" t="s">
        <v>159</v>
      </c>
    </row>
    <row r="48" ht="28.8" spans="1:5">
      <c r="A48" s="25"/>
      <c r="B48" s="25" t="s">
        <v>160</v>
      </c>
      <c r="C48" s="25" t="s">
        <v>161</v>
      </c>
      <c r="D48" s="25" t="s">
        <v>162</v>
      </c>
      <c r="E48" s="26" t="s">
        <v>163</v>
      </c>
    </row>
    <row r="49" ht="28.8" spans="1:5">
      <c r="A49" s="25" t="s">
        <v>164</v>
      </c>
      <c r="B49" s="25" t="s">
        <v>165</v>
      </c>
      <c r="C49" s="25" t="s">
        <v>166</v>
      </c>
      <c r="D49" s="25" t="s">
        <v>167</v>
      </c>
      <c r="E49" s="26" t="s">
        <v>168</v>
      </c>
    </row>
    <row r="50" ht="28.8" spans="1:5">
      <c r="A50" s="25"/>
      <c r="B50" s="25" t="s">
        <v>169</v>
      </c>
      <c r="C50" s="25" t="s">
        <v>170</v>
      </c>
      <c r="D50" s="25" t="s">
        <v>171</v>
      </c>
      <c r="E50" s="26" t="s">
        <v>172</v>
      </c>
    </row>
    <row r="51" ht="28.8" spans="1:5">
      <c r="A51" s="25"/>
      <c r="B51" s="25" t="s">
        <v>173</v>
      </c>
      <c r="C51" s="25" t="s">
        <v>174</v>
      </c>
      <c r="D51" s="25" t="s">
        <v>175</v>
      </c>
      <c r="E51" s="26" t="s">
        <v>176</v>
      </c>
    </row>
    <row r="52" ht="28.8" spans="1:5">
      <c r="A52" s="25"/>
      <c r="B52" s="25" t="s">
        <v>177</v>
      </c>
      <c r="C52" s="25" t="s">
        <v>178</v>
      </c>
      <c r="D52" s="25" t="s">
        <v>179</v>
      </c>
      <c r="E52" s="26" t="s">
        <v>180</v>
      </c>
    </row>
    <row r="53" ht="28.8" spans="1:5">
      <c r="A53" s="25" t="s">
        <v>181</v>
      </c>
      <c r="B53" s="25" t="s">
        <v>182</v>
      </c>
      <c r="C53" s="25" t="s">
        <v>183</v>
      </c>
      <c r="D53" s="25" t="s">
        <v>184</v>
      </c>
      <c r="E53" s="26" t="s">
        <v>185</v>
      </c>
    </row>
    <row r="54" ht="28.8" spans="1:5">
      <c r="A54" s="25"/>
      <c r="B54" s="25" t="s">
        <v>45</v>
      </c>
      <c r="C54" s="25" t="s">
        <v>170</v>
      </c>
      <c r="D54" s="25" t="s">
        <v>186</v>
      </c>
      <c r="E54" s="26" t="s">
        <v>187</v>
      </c>
    </row>
    <row r="55" ht="28.8" spans="1:5">
      <c r="A55" s="25"/>
      <c r="B55" s="25" t="s">
        <v>68</v>
      </c>
      <c r="C55" s="25" t="s">
        <v>17</v>
      </c>
      <c r="D55" s="25" t="s">
        <v>188</v>
      </c>
      <c r="E55" s="29" t="s">
        <v>189</v>
      </c>
    </row>
    <row r="56" spans="1:5">
      <c r="A56" s="25"/>
      <c r="B56" s="25"/>
      <c r="C56" s="25" t="s">
        <v>10</v>
      </c>
      <c r="D56" s="25" t="s">
        <v>190</v>
      </c>
      <c r="E56" s="30"/>
    </row>
    <row r="57" spans="1:5">
      <c r="A57" s="25"/>
      <c r="B57" s="25"/>
      <c r="C57" s="25" t="s">
        <v>191</v>
      </c>
      <c r="D57" s="25" t="s">
        <v>192</v>
      </c>
      <c r="E57" s="30"/>
    </row>
    <row r="58" spans="1:5">
      <c r="A58" s="25"/>
      <c r="B58" s="25"/>
      <c r="C58" s="25" t="s">
        <v>193</v>
      </c>
      <c r="D58" s="25" t="s">
        <v>194</v>
      </c>
      <c r="E58" s="31"/>
    </row>
    <row r="59" ht="28.8" spans="1:5">
      <c r="A59" s="25"/>
      <c r="B59" s="25" t="s">
        <v>195</v>
      </c>
      <c r="C59" s="25" t="s">
        <v>196</v>
      </c>
      <c r="D59" s="25" t="s">
        <v>197</v>
      </c>
      <c r="E59" s="26" t="s">
        <v>198</v>
      </c>
    </row>
    <row r="60" spans="1:5">
      <c r="A60" s="25" t="s">
        <v>199</v>
      </c>
      <c r="B60" s="25" t="s">
        <v>200</v>
      </c>
      <c r="C60" s="25" t="s">
        <v>201</v>
      </c>
      <c r="D60" s="25" t="s">
        <v>202</v>
      </c>
      <c r="E60" s="26" t="s">
        <v>203</v>
      </c>
    </row>
    <row r="61" spans="1:5">
      <c r="A61" s="25"/>
      <c r="B61" s="25"/>
      <c r="C61" s="25" t="s">
        <v>204</v>
      </c>
      <c r="D61" s="25" t="s">
        <v>205</v>
      </c>
      <c r="E61" s="26" t="s">
        <v>206</v>
      </c>
    </row>
    <row r="62" ht="28.8" spans="1:5">
      <c r="A62" s="25"/>
      <c r="B62" s="25" t="s">
        <v>207</v>
      </c>
      <c r="C62" s="25" t="s">
        <v>208</v>
      </c>
      <c r="D62" s="25" t="s">
        <v>209</v>
      </c>
      <c r="E62" s="26" t="s">
        <v>210</v>
      </c>
    </row>
    <row r="63" ht="28.8" spans="1:5">
      <c r="A63" s="25"/>
      <c r="B63" s="25" t="s">
        <v>108</v>
      </c>
      <c r="C63" s="25" t="s">
        <v>211</v>
      </c>
      <c r="D63" s="25" t="s">
        <v>212</v>
      </c>
      <c r="E63" s="26" t="s">
        <v>213</v>
      </c>
    </row>
  </sheetData>
  <mergeCells count="28">
    <mergeCell ref="A2:A9"/>
    <mergeCell ref="A10:A15"/>
    <mergeCell ref="A16:A20"/>
    <mergeCell ref="A21:A31"/>
    <mergeCell ref="A32:A37"/>
    <mergeCell ref="A38:A44"/>
    <mergeCell ref="A45:A48"/>
    <mergeCell ref="A49:A52"/>
    <mergeCell ref="A53:A59"/>
    <mergeCell ref="A60:A63"/>
    <mergeCell ref="B2:B3"/>
    <mergeCell ref="B5:B6"/>
    <mergeCell ref="B7:B9"/>
    <mergeCell ref="B11:B12"/>
    <mergeCell ref="B13:B14"/>
    <mergeCell ref="B17:B20"/>
    <mergeCell ref="B21:B22"/>
    <mergeCell ref="B23:B25"/>
    <mergeCell ref="B26:B28"/>
    <mergeCell ref="B30:B31"/>
    <mergeCell ref="B32:B35"/>
    <mergeCell ref="B38:B40"/>
    <mergeCell ref="B41:B44"/>
    <mergeCell ref="B55:B58"/>
    <mergeCell ref="B60:B61"/>
    <mergeCell ref="E2:E3"/>
    <mergeCell ref="E5:E6"/>
    <mergeCell ref="E55:E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H43" sqref="H43"/>
    </sheetView>
  </sheetViews>
  <sheetFormatPr defaultColWidth="9" defaultRowHeight="14.4"/>
  <cols>
    <col min="1" max="1" width="17" customWidth="1"/>
    <col min="2" max="2" width="18.4444444444444" customWidth="1"/>
    <col min="6" max="6" width="16.3333333333333" customWidth="1"/>
    <col min="7" max="7" width="10.2222222222222" customWidth="1"/>
    <col min="8" max="8" width="21.1111111111111" customWidth="1"/>
    <col min="9" max="9" width="24.1111111111111" customWidth="1"/>
  </cols>
  <sheetData>
    <row r="1" ht="28.8" spans="1:9">
      <c r="A1" s="16" t="s">
        <v>214</v>
      </c>
      <c r="B1" s="16" t="s">
        <v>215</v>
      </c>
      <c r="C1" s="16" t="s">
        <v>216</v>
      </c>
      <c r="D1" s="16" t="s">
        <v>217</v>
      </c>
      <c r="E1" s="16" t="s">
        <v>218</v>
      </c>
      <c r="F1" s="16" t="s">
        <v>219</v>
      </c>
      <c r="G1" s="16" t="s">
        <v>220</v>
      </c>
      <c r="H1" s="16" t="s">
        <v>221</v>
      </c>
      <c r="I1" s="16" t="s">
        <v>222</v>
      </c>
    </row>
    <row r="2" spans="1:9">
      <c r="A2" s="17" t="s">
        <v>33</v>
      </c>
      <c r="B2" s="18" t="s">
        <v>223</v>
      </c>
      <c r="C2" s="18">
        <v>2400</v>
      </c>
      <c r="D2" s="18">
        <v>3750</v>
      </c>
      <c r="E2" s="18">
        <v>350</v>
      </c>
      <c r="F2" s="18">
        <v>9</v>
      </c>
      <c r="G2" s="18" t="s">
        <v>224</v>
      </c>
      <c r="H2" s="18">
        <v>780</v>
      </c>
      <c r="I2" s="18">
        <f>H2*F2</f>
        <v>7020</v>
      </c>
    </row>
    <row r="3" spans="1:9">
      <c r="A3" s="17"/>
      <c r="B3" s="19" t="s">
        <v>225</v>
      </c>
      <c r="C3" s="18">
        <v>1132</v>
      </c>
      <c r="D3" s="18">
        <v>1949</v>
      </c>
      <c r="E3" s="18">
        <v>18</v>
      </c>
      <c r="F3" s="18">
        <v>2.21</v>
      </c>
      <c r="G3" s="18" t="s">
        <v>224</v>
      </c>
      <c r="H3" s="18">
        <v>100</v>
      </c>
      <c r="I3" s="18">
        <f>H3*F3</f>
        <v>221</v>
      </c>
    </row>
    <row r="4" spans="1:9">
      <c r="A4" s="17"/>
      <c r="B4" s="18" t="s">
        <v>226</v>
      </c>
      <c r="C4" s="18"/>
      <c r="D4" s="18"/>
      <c r="E4" s="18"/>
      <c r="F4" s="18">
        <v>2.4</v>
      </c>
      <c r="G4" s="18" t="s">
        <v>227</v>
      </c>
      <c r="H4" s="18">
        <v>600</v>
      </c>
      <c r="I4" s="18">
        <f>H4*F4</f>
        <v>1440</v>
      </c>
    </row>
    <row r="5" spans="1:9">
      <c r="A5" s="17"/>
      <c r="B5" s="18" t="s">
        <v>228</v>
      </c>
      <c r="C5" s="18"/>
      <c r="D5" s="18"/>
      <c r="E5" s="18"/>
      <c r="F5" s="18">
        <v>10</v>
      </c>
      <c r="G5" s="18" t="s">
        <v>229</v>
      </c>
      <c r="H5" s="18">
        <v>15</v>
      </c>
      <c r="I5" s="18">
        <f>H5*F5</f>
        <v>150</v>
      </c>
    </row>
    <row r="6" spans="1:9">
      <c r="A6" s="17" t="s">
        <v>230</v>
      </c>
      <c r="B6" s="18" t="s">
        <v>223</v>
      </c>
      <c r="C6" s="18">
        <v>2400</v>
      </c>
      <c r="D6" s="18">
        <v>2285</v>
      </c>
      <c r="E6" s="18">
        <v>400</v>
      </c>
      <c r="F6" s="18">
        <v>5.48</v>
      </c>
      <c r="G6" s="18" t="s">
        <v>224</v>
      </c>
      <c r="H6" s="18">
        <v>780</v>
      </c>
      <c r="I6" s="18">
        <f>H6*F6</f>
        <v>4274.4</v>
      </c>
    </row>
    <row r="7" spans="1:9">
      <c r="A7" s="17"/>
      <c r="B7" s="18" t="s">
        <v>225</v>
      </c>
      <c r="C7" s="18"/>
      <c r="D7" s="18"/>
      <c r="E7" s="18"/>
      <c r="F7" s="18">
        <v>1.76</v>
      </c>
      <c r="G7" s="18" t="s">
        <v>224</v>
      </c>
      <c r="H7" s="18">
        <v>100</v>
      </c>
      <c r="I7" s="18">
        <f>H7*F7</f>
        <v>176</v>
      </c>
    </row>
    <row r="8" spans="1:9">
      <c r="A8" s="17"/>
      <c r="B8" s="18" t="s">
        <v>231</v>
      </c>
      <c r="C8" s="18"/>
      <c r="D8" s="18"/>
      <c r="E8" s="18"/>
      <c r="F8" s="18">
        <v>2</v>
      </c>
      <c r="G8" s="18" t="s">
        <v>229</v>
      </c>
      <c r="H8" s="18">
        <v>180</v>
      </c>
      <c r="I8" s="18">
        <f>H8*F8</f>
        <v>360</v>
      </c>
    </row>
    <row r="9" spans="1:9">
      <c r="A9" s="17"/>
      <c r="B9" s="18" t="s">
        <v>232</v>
      </c>
      <c r="C9" s="18">
        <v>950</v>
      </c>
      <c r="D9" s="18">
        <v>400</v>
      </c>
      <c r="E9" s="18">
        <v>18</v>
      </c>
      <c r="F9" s="18">
        <v>0.38</v>
      </c>
      <c r="G9" s="18" t="s">
        <v>227</v>
      </c>
      <c r="H9" s="18">
        <v>238</v>
      </c>
      <c r="I9" s="18">
        <f>H9*F9</f>
        <v>90.44</v>
      </c>
    </row>
    <row r="10" spans="1:9">
      <c r="A10" s="17"/>
      <c r="B10" s="18" t="s">
        <v>233</v>
      </c>
      <c r="C10" s="18">
        <v>1000</v>
      </c>
      <c r="D10" s="18">
        <v>400</v>
      </c>
      <c r="E10" s="18">
        <v>18</v>
      </c>
      <c r="F10" s="18">
        <v>0.4</v>
      </c>
      <c r="G10" s="18" t="s">
        <v>224</v>
      </c>
      <c r="H10" s="18">
        <v>238</v>
      </c>
      <c r="I10" s="18">
        <f>H10*F10</f>
        <v>95.2</v>
      </c>
    </row>
    <row r="11" spans="1:9">
      <c r="A11" s="17"/>
      <c r="B11" s="18" t="s">
        <v>234</v>
      </c>
      <c r="C11" s="18"/>
      <c r="D11" s="18"/>
      <c r="E11" s="18"/>
      <c r="F11" s="18">
        <v>10</v>
      </c>
      <c r="G11" s="18" t="s">
        <v>227</v>
      </c>
      <c r="H11" s="18">
        <v>45</v>
      </c>
      <c r="I11" s="18">
        <f>H11*F11</f>
        <v>450</v>
      </c>
    </row>
    <row r="12" spans="1:9">
      <c r="A12" s="17"/>
      <c r="B12" s="18" t="s">
        <v>235</v>
      </c>
      <c r="C12" s="18"/>
      <c r="D12" s="18"/>
      <c r="E12" s="18"/>
      <c r="F12" s="18">
        <v>1.69</v>
      </c>
      <c r="G12" s="18" t="s">
        <v>227</v>
      </c>
      <c r="H12" s="18">
        <v>58</v>
      </c>
      <c r="I12" s="18">
        <f>H12*F12</f>
        <v>98.02</v>
      </c>
    </row>
    <row r="13" spans="1:9">
      <c r="A13" s="17"/>
      <c r="B13" s="18" t="s">
        <v>236</v>
      </c>
      <c r="C13" s="18"/>
      <c r="D13" s="18"/>
      <c r="E13" s="18"/>
      <c r="F13" s="18">
        <v>1</v>
      </c>
      <c r="G13" s="18" t="s">
        <v>237</v>
      </c>
      <c r="H13" s="18">
        <v>120</v>
      </c>
      <c r="I13" s="18">
        <f>H13*F13</f>
        <v>120</v>
      </c>
    </row>
    <row r="14" spans="1:9">
      <c r="A14" s="17"/>
      <c r="B14" s="18" t="s">
        <v>238</v>
      </c>
      <c r="C14" s="18"/>
      <c r="D14" s="18"/>
      <c r="E14" s="18"/>
      <c r="F14" s="18">
        <v>1</v>
      </c>
      <c r="G14" s="18" t="s">
        <v>239</v>
      </c>
      <c r="H14" s="18">
        <v>30</v>
      </c>
      <c r="I14" s="18">
        <f>H14*F14</f>
        <v>30</v>
      </c>
    </row>
    <row r="15" spans="1:9">
      <c r="A15" s="20" t="s">
        <v>60</v>
      </c>
      <c r="B15" s="18" t="s">
        <v>223</v>
      </c>
      <c r="C15" s="18">
        <v>2300</v>
      </c>
      <c r="D15" s="18">
        <v>1820</v>
      </c>
      <c r="E15" s="18">
        <v>400</v>
      </c>
      <c r="F15" s="18">
        <v>4.19</v>
      </c>
      <c r="G15" s="18" t="s">
        <v>224</v>
      </c>
      <c r="H15" s="18">
        <v>780</v>
      </c>
      <c r="I15" s="18">
        <f>H15*F15</f>
        <v>3268.2</v>
      </c>
    </row>
    <row r="16" spans="1:9">
      <c r="A16" s="20"/>
      <c r="B16" s="18" t="s">
        <v>225</v>
      </c>
      <c r="C16" s="18">
        <v>500</v>
      </c>
      <c r="D16" s="18">
        <v>1710</v>
      </c>
      <c r="E16" s="18">
        <v>18</v>
      </c>
      <c r="F16" s="18">
        <v>0.86</v>
      </c>
      <c r="G16" s="18" t="s">
        <v>224</v>
      </c>
      <c r="H16" s="18">
        <v>80</v>
      </c>
      <c r="I16" s="18">
        <f>H16*F16</f>
        <v>68.8</v>
      </c>
    </row>
    <row r="17" spans="1:9">
      <c r="A17" s="20"/>
      <c r="B17" s="18" t="s">
        <v>232</v>
      </c>
      <c r="C17" s="18">
        <v>1000</v>
      </c>
      <c r="D17" s="18">
        <v>400</v>
      </c>
      <c r="E17" s="18"/>
      <c r="F17" s="18">
        <v>0.8</v>
      </c>
      <c r="G17" s="18" t="s">
        <v>224</v>
      </c>
      <c r="H17" s="18">
        <v>238</v>
      </c>
      <c r="I17" s="18">
        <f>H17*F17</f>
        <v>190.4</v>
      </c>
    </row>
    <row r="18" spans="1:9">
      <c r="A18" s="20"/>
      <c r="B18" s="18" t="s">
        <v>231</v>
      </c>
      <c r="C18" s="18"/>
      <c r="D18" s="18"/>
      <c r="E18" s="18"/>
      <c r="F18" s="18">
        <v>2</v>
      </c>
      <c r="G18" s="18" t="s">
        <v>227</v>
      </c>
      <c r="H18" s="18">
        <v>180</v>
      </c>
      <c r="I18" s="18">
        <f>H18*F18</f>
        <v>360</v>
      </c>
    </row>
    <row r="19" spans="1:9">
      <c r="A19" s="20"/>
      <c r="B19" s="18" t="s">
        <v>234</v>
      </c>
      <c r="C19" s="18"/>
      <c r="D19" s="18"/>
      <c r="E19" s="18"/>
      <c r="F19" s="18">
        <v>5</v>
      </c>
      <c r="G19" s="18" t="s">
        <v>229</v>
      </c>
      <c r="H19" s="18">
        <v>45</v>
      </c>
      <c r="I19" s="18">
        <f>H19*F19</f>
        <v>225</v>
      </c>
    </row>
    <row r="20" spans="1:9">
      <c r="A20" s="20"/>
      <c r="B20" s="18" t="s">
        <v>235</v>
      </c>
      <c r="C20" s="18"/>
      <c r="D20" s="18"/>
      <c r="E20" s="18"/>
      <c r="F20" s="18">
        <v>1</v>
      </c>
      <c r="G20" s="18" t="s">
        <v>229</v>
      </c>
      <c r="H20" s="18">
        <v>58</v>
      </c>
      <c r="I20" s="18">
        <f>H20*F20</f>
        <v>58</v>
      </c>
    </row>
    <row r="21" spans="1:9">
      <c r="A21" s="20"/>
      <c r="B21" s="18" t="s">
        <v>236</v>
      </c>
      <c r="C21" s="18"/>
      <c r="D21" s="18"/>
      <c r="E21" s="18"/>
      <c r="F21" s="18">
        <v>1.71</v>
      </c>
      <c r="G21" s="18" t="s">
        <v>229</v>
      </c>
      <c r="H21" s="18">
        <v>58</v>
      </c>
      <c r="I21" s="18">
        <f>H21*F21</f>
        <v>99.18</v>
      </c>
    </row>
    <row r="22" spans="1:9">
      <c r="A22" s="20"/>
      <c r="B22" s="18" t="s">
        <v>240</v>
      </c>
      <c r="C22" s="18">
        <v>3</v>
      </c>
      <c r="D22" s="18"/>
      <c r="E22" s="18"/>
      <c r="F22" s="18">
        <v>3</v>
      </c>
      <c r="G22" s="18" t="s">
        <v>229</v>
      </c>
      <c r="H22" s="18">
        <v>30</v>
      </c>
      <c r="I22" s="18">
        <f>H22*F22</f>
        <v>90</v>
      </c>
    </row>
    <row r="23" spans="1:9">
      <c r="A23" s="20"/>
      <c r="B23" s="18" t="s">
        <v>241</v>
      </c>
      <c r="C23" s="18">
        <v>3</v>
      </c>
      <c r="D23" s="18"/>
      <c r="E23" s="18"/>
      <c r="F23" s="18">
        <v>3</v>
      </c>
      <c r="G23" s="18" t="s">
        <v>242</v>
      </c>
      <c r="H23" s="18">
        <v>58</v>
      </c>
      <c r="I23" s="18">
        <f>H23*F23</f>
        <v>174</v>
      </c>
    </row>
    <row r="24" spans="1:9">
      <c r="A24" s="17" t="s">
        <v>243</v>
      </c>
      <c r="B24" s="18" t="s">
        <v>223</v>
      </c>
      <c r="C24" s="18">
        <v>2420</v>
      </c>
      <c r="D24" s="18">
        <v>5050</v>
      </c>
      <c r="E24" s="18">
        <v>600</v>
      </c>
      <c r="F24" s="18">
        <v>12.22</v>
      </c>
      <c r="G24" s="18" t="s">
        <v>224</v>
      </c>
      <c r="H24" s="18">
        <v>780</v>
      </c>
      <c r="I24" s="18">
        <f>H24*F24</f>
        <v>9531.6</v>
      </c>
    </row>
    <row r="25" spans="1:9">
      <c r="A25" s="17"/>
      <c r="B25" s="18" t="s">
        <v>240</v>
      </c>
      <c r="C25" s="18"/>
      <c r="D25" s="18"/>
      <c r="E25" s="18"/>
      <c r="F25" s="18">
        <v>5</v>
      </c>
      <c r="G25" s="18" t="s">
        <v>229</v>
      </c>
      <c r="H25" s="18">
        <v>30</v>
      </c>
      <c r="I25" s="18">
        <f>H25*F25</f>
        <v>150</v>
      </c>
    </row>
    <row r="26" spans="1:9">
      <c r="A26" s="17"/>
      <c r="B26" s="18" t="s">
        <v>244</v>
      </c>
      <c r="C26" s="18"/>
      <c r="D26" s="18"/>
      <c r="E26" s="18"/>
      <c r="F26" s="18">
        <v>5</v>
      </c>
      <c r="G26" s="18" t="s">
        <v>242</v>
      </c>
      <c r="H26" s="18">
        <v>68</v>
      </c>
      <c r="I26" s="18">
        <f>H26*F26</f>
        <v>340</v>
      </c>
    </row>
    <row r="27" spans="1:9">
      <c r="A27" s="17"/>
      <c r="B27" s="18" t="s">
        <v>245</v>
      </c>
      <c r="C27" s="18"/>
      <c r="D27" s="18"/>
      <c r="E27" s="18"/>
      <c r="F27" s="18">
        <v>1</v>
      </c>
      <c r="G27" s="18" t="s">
        <v>229</v>
      </c>
      <c r="H27" s="18">
        <v>150</v>
      </c>
      <c r="I27" s="18">
        <f>H27*F27</f>
        <v>150</v>
      </c>
    </row>
    <row r="28" spans="1:9">
      <c r="A28" s="20" t="s">
        <v>246</v>
      </c>
      <c r="B28" s="21" t="s">
        <v>223</v>
      </c>
      <c r="C28" s="18">
        <v>950</v>
      </c>
      <c r="D28" s="18">
        <v>2905</v>
      </c>
      <c r="E28" s="18">
        <v>350</v>
      </c>
      <c r="F28" s="18">
        <v>2.91</v>
      </c>
      <c r="G28" s="18" t="s">
        <v>224</v>
      </c>
      <c r="H28" s="18">
        <v>780</v>
      </c>
      <c r="I28" s="18">
        <f>H28*F28</f>
        <v>2269.8</v>
      </c>
    </row>
    <row r="29" spans="1:9">
      <c r="A29" s="20"/>
      <c r="B29" s="21"/>
      <c r="C29" s="18">
        <v>800</v>
      </c>
      <c r="D29" s="18">
        <v>2904</v>
      </c>
      <c r="E29" s="18">
        <v>350</v>
      </c>
      <c r="F29" s="18">
        <v>2.9</v>
      </c>
      <c r="G29" s="18" t="s">
        <v>224</v>
      </c>
      <c r="H29" s="18">
        <v>780</v>
      </c>
      <c r="I29" s="18">
        <f>H29*F29</f>
        <v>2262</v>
      </c>
    </row>
    <row r="30" spans="1:9">
      <c r="A30" s="20"/>
      <c r="B30" s="18" t="s">
        <v>225</v>
      </c>
      <c r="C30" s="18">
        <v>775</v>
      </c>
      <c r="D30" s="18">
        <v>1166</v>
      </c>
      <c r="E30" s="18">
        <v>18</v>
      </c>
      <c r="F30" s="18">
        <v>1.81</v>
      </c>
      <c r="G30" s="18" t="s">
        <v>224</v>
      </c>
      <c r="H30" s="18">
        <v>80</v>
      </c>
      <c r="I30" s="18">
        <f>H30*F30</f>
        <v>144.8</v>
      </c>
    </row>
    <row r="31" spans="1:9">
      <c r="A31" s="20"/>
      <c r="B31" s="21" t="s">
        <v>232</v>
      </c>
      <c r="C31" s="18">
        <v>145</v>
      </c>
      <c r="D31" s="18"/>
      <c r="E31" s="18">
        <v>350</v>
      </c>
      <c r="F31" s="18">
        <v>0.26</v>
      </c>
      <c r="G31" s="18" t="s">
        <v>224</v>
      </c>
      <c r="H31" s="18">
        <v>238</v>
      </c>
      <c r="I31" s="18">
        <f>H31*F31</f>
        <v>61.88</v>
      </c>
    </row>
    <row r="32" spans="1:9">
      <c r="A32" s="20"/>
      <c r="B32" s="21"/>
      <c r="C32" s="18">
        <v>900</v>
      </c>
      <c r="D32" s="18">
        <v>350</v>
      </c>
      <c r="E32" s="18">
        <v>18</v>
      </c>
      <c r="F32" s="18">
        <v>0.32</v>
      </c>
      <c r="G32" s="18" t="s">
        <v>224</v>
      </c>
      <c r="H32" s="18">
        <v>238</v>
      </c>
      <c r="I32" s="18">
        <f>H32*F32</f>
        <v>76.16</v>
      </c>
    </row>
    <row r="33" spans="1:9">
      <c r="A33" s="20"/>
      <c r="B33" s="18" t="s">
        <v>247</v>
      </c>
      <c r="C33" s="18">
        <v>930</v>
      </c>
      <c r="D33" s="18">
        <v>477</v>
      </c>
      <c r="E33" s="18">
        <v>20</v>
      </c>
      <c r="F33" s="18">
        <v>0.44</v>
      </c>
      <c r="G33" s="18" t="s">
        <v>224</v>
      </c>
      <c r="H33" s="18">
        <v>210</v>
      </c>
      <c r="I33" s="18">
        <f>H33*F33</f>
        <v>92.4</v>
      </c>
    </row>
    <row r="34" spans="1:9">
      <c r="A34" s="20"/>
      <c r="B34" s="18" t="s">
        <v>248</v>
      </c>
      <c r="C34" s="18">
        <v>2904</v>
      </c>
      <c r="D34" s="18">
        <v>600</v>
      </c>
      <c r="E34" s="18">
        <v>25</v>
      </c>
      <c r="F34" s="18">
        <v>1.74</v>
      </c>
      <c r="G34" s="18" t="s">
        <v>224</v>
      </c>
      <c r="H34" s="18">
        <v>240</v>
      </c>
      <c r="I34" s="18">
        <f>H34*F34</f>
        <v>417.6</v>
      </c>
    </row>
    <row r="35" spans="1:9">
      <c r="A35" s="20" t="s">
        <v>249</v>
      </c>
      <c r="B35" s="17" t="s">
        <v>223</v>
      </c>
      <c r="C35" s="18">
        <v>1500</v>
      </c>
      <c r="D35" s="18">
        <v>2000</v>
      </c>
      <c r="E35" s="18">
        <v>400</v>
      </c>
      <c r="F35" s="18">
        <v>3</v>
      </c>
      <c r="G35" s="18" t="s">
        <v>224</v>
      </c>
      <c r="H35" s="18">
        <v>780</v>
      </c>
      <c r="I35" s="18">
        <f>H35*F35</f>
        <v>2340</v>
      </c>
    </row>
    <row r="36" spans="1:9">
      <c r="A36" s="20"/>
      <c r="B36" s="17"/>
      <c r="C36" s="18">
        <v>2650</v>
      </c>
      <c r="D36" s="18">
        <v>1600</v>
      </c>
      <c r="E36" s="18">
        <v>600</v>
      </c>
      <c r="F36" s="18">
        <v>4.24</v>
      </c>
      <c r="G36" s="18" t="s">
        <v>224</v>
      </c>
      <c r="H36" s="18">
        <v>780</v>
      </c>
      <c r="I36" s="18">
        <f>H36*F36</f>
        <v>3307.2</v>
      </c>
    </row>
    <row r="37" spans="1:9">
      <c r="A37" s="20"/>
      <c r="B37" s="17"/>
      <c r="C37" s="18">
        <v>780</v>
      </c>
      <c r="D37" s="18">
        <v>2555</v>
      </c>
      <c r="E37" s="18">
        <v>560</v>
      </c>
      <c r="F37" s="18">
        <v>2.56</v>
      </c>
      <c r="G37" s="18" t="s">
        <v>224</v>
      </c>
      <c r="H37" s="18">
        <v>780</v>
      </c>
      <c r="I37" s="18">
        <f>H37*F37</f>
        <v>1996.8</v>
      </c>
    </row>
    <row r="38" spans="1:9">
      <c r="A38" s="20"/>
      <c r="B38" s="18" t="s">
        <v>225</v>
      </c>
      <c r="C38" s="18">
        <v>622</v>
      </c>
      <c r="D38" s="18">
        <v>1005</v>
      </c>
      <c r="E38" s="18">
        <v>18</v>
      </c>
      <c r="F38" s="18">
        <v>0.63</v>
      </c>
      <c r="G38" s="18" t="s">
        <v>224</v>
      </c>
      <c r="H38" s="18">
        <v>80</v>
      </c>
      <c r="I38" s="18">
        <f>H38*F38</f>
        <v>50.4</v>
      </c>
    </row>
    <row r="39" spans="1:9">
      <c r="A39" s="20"/>
      <c r="B39" s="18" t="s">
        <v>232</v>
      </c>
      <c r="C39" s="18">
        <v>2650</v>
      </c>
      <c r="D39" s="18">
        <v>600</v>
      </c>
      <c r="E39" s="18">
        <v>18</v>
      </c>
      <c r="F39" s="18">
        <v>1.59</v>
      </c>
      <c r="G39" s="18" t="s">
        <v>224</v>
      </c>
      <c r="H39" s="18">
        <v>378.42</v>
      </c>
      <c r="I39" s="18">
        <f>H39*F39</f>
        <v>601.6878</v>
      </c>
    </row>
    <row r="40" spans="1:9">
      <c r="A40" s="20"/>
      <c r="B40" s="18" t="s">
        <v>231</v>
      </c>
      <c r="C40" s="18"/>
      <c r="D40" s="18"/>
      <c r="E40" s="18"/>
      <c r="F40" s="18">
        <v>2.65</v>
      </c>
      <c r="G40" s="18" t="s">
        <v>227</v>
      </c>
      <c r="H40" s="18">
        <v>180</v>
      </c>
      <c r="I40" s="18">
        <f>H40*F40</f>
        <v>477</v>
      </c>
    </row>
    <row r="41" spans="1:9">
      <c r="A41" s="20"/>
      <c r="B41" s="18" t="s">
        <v>250</v>
      </c>
      <c r="C41" s="18"/>
      <c r="D41" s="18"/>
      <c r="E41" s="18"/>
      <c r="F41" s="18">
        <v>9</v>
      </c>
      <c r="G41" s="18" t="s">
        <v>229</v>
      </c>
      <c r="H41" s="18">
        <v>15</v>
      </c>
      <c r="I41" s="18">
        <f>H41*F41</f>
        <v>135</v>
      </c>
    </row>
    <row r="42" spans="1:9">
      <c r="A42" s="20"/>
      <c r="B42" s="18" t="s">
        <v>251</v>
      </c>
      <c r="C42" s="18"/>
      <c r="D42" s="18"/>
      <c r="E42" s="18"/>
      <c r="F42" s="18">
        <v>2</v>
      </c>
      <c r="G42" s="18" t="s">
        <v>229</v>
      </c>
      <c r="H42" s="18">
        <v>18</v>
      </c>
      <c r="I42" s="18">
        <f>H42*F42</f>
        <v>36</v>
      </c>
    </row>
    <row r="43" spans="1:9">
      <c r="A43" s="17" t="s">
        <v>252</v>
      </c>
      <c r="B43" s="18" t="s">
        <v>253</v>
      </c>
      <c r="C43" s="18">
        <v>1150</v>
      </c>
      <c r="D43" s="18">
        <v>3790</v>
      </c>
      <c r="E43" s="18">
        <v>18</v>
      </c>
      <c r="F43" s="18">
        <v>4.36</v>
      </c>
      <c r="G43" s="18" t="s">
        <v>224</v>
      </c>
      <c r="H43" s="18">
        <v>238</v>
      </c>
      <c r="I43" s="18">
        <f>H43*F43</f>
        <v>1037.68</v>
      </c>
    </row>
    <row r="44" ht="15" customHeight="1" spans="1:9">
      <c r="A44" s="17"/>
      <c r="B44" s="18" t="s">
        <v>235</v>
      </c>
      <c r="C44" s="18"/>
      <c r="D44" s="18"/>
      <c r="E44" s="18"/>
      <c r="F44" s="18">
        <v>3.79</v>
      </c>
      <c r="G44" s="18" t="s">
        <v>227</v>
      </c>
      <c r="H44" s="18">
        <v>58</v>
      </c>
      <c r="I44" s="18">
        <f>H44*F44</f>
        <v>219.82</v>
      </c>
    </row>
    <row r="45" spans="1:9">
      <c r="A45" s="17"/>
      <c r="B45" s="18" t="s">
        <v>236</v>
      </c>
      <c r="C45" s="18"/>
      <c r="D45" s="18"/>
      <c r="E45" s="18"/>
      <c r="F45" s="18">
        <v>1</v>
      </c>
      <c r="G45" s="18" t="s">
        <v>237</v>
      </c>
      <c r="H45" s="18">
        <v>120</v>
      </c>
      <c r="I45" s="18">
        <f>H45*F45</f>
        <v>120</v>
      </c>
    </row>
    <row r="46" spans="1:9">
      <c r="A46" s="17"/>
      <c r="B46" s="18" t="s">
        <v>254</v>
      </c>
      <c r="C46" s="18">
        <v>1150</v>
      </c>
      <c r="D46" s="18">
        <v>3790</v>
      </c>
      <c r="E46" s="18">
        <v>18</v>
      </c>
      <c r="F46" s="18">
        <v>4.36</v>
      </c>
      <c r="G46" s="18" t="s">
        <v>227</v>
      </c>
      <c r="H46" s="18">
        <v>168</v>
      </c>
      <c r="I46" s="18">
        <f>H46*F46</f>
        <v>732.48</v>
      </c>
    </row>
    <row r="47" spans="1:9">
      <c r="A47" s="17"/>
      <c r="B47" s="18" t="s">
        <v>255</v>
      </c>
      <c r="C47" s="18"/>
      <c r="D47" s="18"/>
      <c r="E47" s="18"/>
      <c r="F47" s="18">
        <v>4.6</v>
      </c>
      <c r="G47" s="18" t="s">
        <v>227</v>
      </c>
      <c r="H47" s="18">
        <v>20</v>
      </c>
      <c r="I47" s="18">
        <f>H47*F47</f>
        <v>92</v>
      </c>
    </row>
    <row r="48" spans="1:9">
      <c r="A48" s="17"/>
      <c r="B48" s="18" t="s">
        <v>256</v>
      </c>
      <c r="C48" s="18"/>
      <c r="D48" s="18"/>
      <c r="E48" s="18"/>
      <c r="F48" s="18">
        <v>7</v>
      </c>
      <c r="G48" s="18" t="s">
        <v>229</v>
      </c>
      <c r="H48" s="18">
        <v>100</v>
      </c>
      <c r="I48" s="18">
        <f>H48*F48</f>
        <v>700</v>
      </c>
    </row>
    <row r="49" spans="1:9">
      <c r="A49" s="19"/>
      <c r="B49" s="17" t="s">
        <v>257</v>
      </c>
      <c r="C49" s="17"/>
      <c r="D49" s="17"/>
      <c r="E49" s="17"/>
      <c r="F49" s="18">
        <v>47.95</v>
      </c>
      <c r="G49" s="18" t="s">
        <v>227</v>
      </c>
      <c r="H49" s="18"/>
      <c r="I49" s="18"/>
    </row>
    <row r="50" spans="1:9">
      <c r="A50" s="19"/>
      <c r="B50" s="17" t="s">
        <v>258</v>
      </c>
      <c r="C50" s="17"/>
      <c r="D50" s="17"/>
      <c r="E50" s="17"/>
      <c r="F50" s="18"/>
      <c r="G50" s="18"/>
      <c r="H50" s="18"/>
      <c r="I50" s="18">
        <f>SUM(I2:I48)</f>
        <v>46400.9478</v>
      </c>
    </row>
  </sheetData>
  <mergeCells count="12">
    <mergeCell ref="B49:E49"/>
    <mergeCell ref="B50:E50"/>
    <mergeCell ref="A2:A5"/>
    <mergeCell ref="A6:A14"/>
    <mergeCell ref="A15:A23"/>
    <mergeCell ref="A24:A27"/>
    <mergeCell ref="A28:A34"/>
    <mergeCell ref="A35:A42"/>
    <mergeCell ref="A43:A48"/>
    <mergeCell ref="B28:B29"/>
    <mergeCell ref="B31:B32"/>
    <mergeCell ref="B35:B3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8" sqref="A8"/>
    </sheetView>
  </sheetViews>
  <sheetFormatPr defaultColWidth="9" defaultRowHeight="14.4" outlineLevelCol="7"/>
  <cols>
    <col min="1" max="1" width="19.8888888888889" customWidth="1"/>
    <col min="2" max="2" width="13.3333333333333" customWidth="1"/>
    <col min="6" max="8" width="9" style="1"/>
  </cols>
  <sheetData>
    <row r="1" spans="1:8">
      <c r="A1" s="2" t="s">
        <v>259</v>
      </c>
      <c r="B1" s="2" t="s">
        <v>260</v>
      </c>
      <c r="C1" s="2" t="s">
        <v>261</v>
      </c>
      <c r="D1" s="2" t="s">
        <v>262</v>
      </c>
      <c r="E1" s="2" t="s">
        <v>263</v>
      </c>
      <c r="F1" s="3"/>
      <c r="G1" s="3"/>
      <c r="H1" s="3"/>
    </row>
    <row r="2" spans="1:8">
      <c r="A2" s="4" t="s">
        <v>264</v>
      </c>
      <c r="B2" s="5">
        <v>1520</v>
      </c>
      <c r="C2" s="5">
        <v>2.4</v>
      </c>
      <c r="D2" s="5">
        <f>B2*C2/1000</f>
        <v>3.648</v>
      </c>
      <c r="E2" s="6"/>
      <c r="F2" s="7"/>
      <c r="G2" s="7"/>
      <c r="H2" s="8"/>
    </row>
    <row r="3" spans="1:8">
      <c r="A3" s="4" t="s">
        <v>265</v>
      </c>
      <c r="B3" s="5">
        <v>1870</v>
      </c>
      <c r="C3" s="5">
        <v>2.6</v>
      </c>
      <c r="D3" s="5">
        <f>B3*C3/1000</f>
        <v>4.862</v>
      </c>
      <c r="E3" s="6"/>
      <c r="F3" s="7"/>
      <c r="G3" s="7"/>
      <c r="H3" s="8"/>
    </row>
    <row r="4" spans="1:8">
      <c r="A4" s="4" t="s">
        <v>266</v>
      </c>
      <c r="B4" s="5">
        <v>1648</v>
      </c>
      <c r="C4" s="5">
        <v>2.4</v>
      </c>
      <c r="D4" s="5">
        <f>B4*C4/1000</f>
        <v>3.9552</v>
      </c>
      <c r="E4" s="6"/>
      <c r="F4" s="7"/>
      <c r="G4" s="7"/>
      <c r="H4" s="8"/>
    </row>
    <row r="5" spans="1:8">
      <c r="A5" s="9" t="s">
        <v>246</v>
      </c>
      <c r="B5" s="10">
        <v>3020</v>
      </c>
      <c r="C5" s="10">
        <v>2.6</v>
      </c>
      <c r="D5" s="10">
        <f t="shared" ref="D5:D11" si="0">B5*C5/1000</f>
        <v>7.852</v>
      </c>
      <c r="E5" s="11"/>
      <c r="F5" s="7"/>
      <c r="G5" s="7"/>
      <c r="H5" s="8"/>
    </row>
    <row r="6" spans="1:8">
      <c r="A6" s="9" t="s">
        <v>267</v>
      </c>
      <c r="B6" s="10">
        <v>1561</v>
      </c>
      <c r="C6" s="10">
        <v>2.6</v>
      </c>
      <c r="D6" s="10">
        <f t="shared" si="0"/>
        <v>4.0586</v>
      </c>
      <c r="E6" s="11"/>
      <c r="F6" s="7"/>
      <c r="G6" s="7"/>
      <c r="H6" s="8"/>
    </row>
    <row r="7" spans="1:8">
      <c r="A7" s="9" t="s">
        <v>249</v>
      </c>
      <c r="B7" s="10">
        <v>2250</v>
      </c>
      <c r="C7" s="10">
        <v>1.5</v>
      </c>
      <c r="D7" s="10">
        <f t="shared" si="0"/>
        <v>3.375</v>
      </c>
      <c r="E7" s="11"/>
      <c r="F7" s="7"/>
      <c r="G7" s="7"/>
      <c r="H7" s="8"/>
    </row>
    <row r="8" spans="1:8">
      <c r="A8" s="9" t="s">
        <v>243</v>
      </c>
      <c r="B8" s="10">
        <v>5150</v>
      </c>
      <c r="C8" s="10">
        <v>2.4</v>
      </c>
      <c r="D8" s="10">
        <f t="shared" si="0"/>
        <v>12.36</v>
      </c>
      <c r="E8" s="11"/>
      <c r="F8" s="7"/>
      <c r="G8" s="7"/>
      <c r="H8" s="8"/>
    </row>
    <row r="9" spans="1:8">
      <c r="A9" s="9" t="s">
        <v>230</v>
      </c>
      <c r="B9" s="10">
        <v>2320</v>
      </c>
      <c r="C9" s="10">
        <v>2.4</v>
      </c>
      <c r="D9" s="10">
        <f t="shared" si="0"/>
        <v>5.568</v>
      </c>
      <c r="E9" s="11"/>
      <c r="F9" s="7"/>
      <c r="G9" s="7"/>
      <c r="H9" s="8"/>
    </row>
    <row r="10" spans="1:8">
      <c r="A10" s="9" t="s">
        <v>60</v>
      </c>
      <c r="B10" s="10">
        <v>1750</v>
      </c>
      <c r="C10" s="10">
        <v>2.4</v>
      </c>
      <c r="D10" s="10">
        <f t="shared" si="0"/>
        <v>4.2</v>
      </c>
      <c r="E10" s="11"/>
      <c r="F10" s="7"/>
      <c r="G10" s="7"/>
      <c r="H10" s="8"/>
    </row>
    <row r="11" spans="1:8">
      <c r="A11" s="9" t="s">
        <v>33</v>
      </c>
      <c r="B11" s="10">
        <v>3710</v>
      </c>
      <c r="C11" s="10">
        <v>2.4</v>
      </c>
      <c r="D11" s="10">
        <f t="shared" si="0"/>
        <v>8.904</v>
      </c>
      <c r="E11" s="11"/>
      <c r="F11" s="12"/>
      <c r="G11" s="12"/>
      <c r="H11" s="13"/>
    </row>
    <row r="12" spans="1:8">
      <c r="A12" s="14" t="s">
        <v>268</v>
      </c>
      <c r="B12" s="15">
        <f>SUM(B2:B11)</f>
        <v>24799</v>
      </c>
      <c r="C12" s="14"/>
      <c r="D12" s="15">
        <f>SUM(D2:D11)</f>
        <v>58.7828</v>
      </c>
      <c r="E12" s="14"/>
      <c r="F12" s="8"/>
      <c r="G12" s="8"/>
      <c r="H12" s="8"/>
    </row>
  </sheetData>
  <mergeCells count="2">
    <mergeCell ref="E2:E4"/>
    <mergeCell ref="E5:E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全屋收纳设计</vt:lpstr>
      <vt:lpstr>报价表</vt:lpstr>
      <vt:lpstr>面积计算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C148A4A0BCFA45D690DE65FB2614927A_12</vt:lpwstr>
  </property>
</Properties>
</file>